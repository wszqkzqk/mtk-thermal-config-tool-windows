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795_1.10.1.03_atm_ctm" sheetId="169" r:id="rId1"/>
    <sheet name="6795_1.10.1.03_atm" sheetId="170" r:id="rId2"/>
    <sheet name="6795_1.10.1.03_tp" sheetId="157" r:id="rId3"/>
    <sheet name="6795_1.10.1.03_ht" sheetId="158" r:id="rId4"/>
    <sheet name="6595_coolers" sheetId="150" r:id="rId5"/>
    <sheet name="6595_tz" sheetId="125" r:id="rId6"/>
    <sheet name="Doc_History" sheetId="167" r:id="rId7"/>
  </sheets>
  <functionGroups/>
  <externalReferences>
    <externalReference r:id="rId8"/>
  </externalReferences>
  <calcPr calcId="125725"/>
</workbook>
</file>

<file path=xl/calcChain.xml><?xml version="1.0" encoding="utf-8"?>
<calcChain xmlns="http://schemas.openxmlformats.org/spreadsheetml/2006/main">
  <c r="AB88" i="169"/>
  <c r="AB87"/>
  <c r="AB86"/>
  <c r="AB85"/>
  <c r="AB88" i="170"/>
  <c r="AB87" s="1"/>
  <c r="AB86"/>
  <c r="AB85" s="1"/>
  <c r="AB88" i="158"/>
  <c r="AB87" s="1"/>
  <c r="AB86"/>
  <c r="AB85" s="1"/>
  <c r="AB88" i="157"/>
  <c r="AB87" s="1"/>
  <c r="AB86"/>
  <c r="AB85" s="1"/>
</calcChain>
</file>

<file path=xl/sharedStrings.xml><?xml version="1.0" encoding="utf-8"?>
<sst xmlns="http://schemas.openxmlformats.org/spreadsheetml/2006/main" count="6741" uniqueCount="230">
  <si>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</si>
  <si>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</si>
  <si>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</si>
  <si>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</si>
  <si>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</si>
  <si>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</si>
  <si>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</si>
  <si>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</si>
  <si>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</si>
  <si>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</si>
  <si>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</si>
  <si>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</si>
  <si>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</si>
  <si>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</si>
  <si>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</si>
  <si>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</si>
  <si>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</si>
  <si>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</si>
  <si>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</si>
  <si>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</si>
  <si>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</si>
  <si>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</si>
  <si>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</si>
  <si>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</si>
  <si>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</si>
  <si>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</si>
  <si>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</si>
  <si>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</si>
  <si>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</si>
  <si>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</si>
  <si>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</si>
  <si>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</si>
  <si>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</si>
  <si>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</si>
  <si>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</si>
  <si>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</si>
  <si>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</si>
  <si>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</si>
  <si>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</si>
  <si>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</si>
  <si>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</si>
  <si>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</si>
  <si>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</si>
  <si>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</si>
  <si>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</si>
  <si>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</si>
  <si>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</si>
  <si>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</si>
  <si>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</si>
  <si>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</si>
  <si>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</si>
  <si>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</si>
  <si>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</si>
  <si>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</si>
  <si>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</si>
  <si>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</si>
  <si>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</si>
  <si>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</si>
  <si>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</si>
  <si>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</si>
  <si>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</si>
  <si>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</si>
  <si>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</si>
  <si>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</si>
  <si>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</si>
  <si>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</si>
  <si>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</si>
  <si>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</si>
  <si>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</si>
  <si>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</si>
  <si>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</si>
  <si>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</si>
  <si>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</si>
  <si>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</si>
  <si>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</si>
  <si>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</si>
  <si>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</si>
  <si>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</si>
  <si>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</si>
  <si>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</si>
  <si>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</si>
  <si>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</si>
  <si>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</si>
  <si>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</si>
  <si>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</si>
  <si>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</si>
  <si>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</si>
  <si>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</si>
  <si>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</si>
  <si>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</si>
  <si>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</si>
  <si>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</si>
  <si>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</si>
  <si>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</si>
  <si>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</si>
  <si>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</si>
  <si>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</si>
  <si>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</si>
  <si>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</si>
  <si>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</si>
  <si>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</si>
  <si>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</si>
  <si>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</si>
  <si>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</si>
  <si>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</si>
  <si>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</si>
  <si>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</si>
  <si>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</si>
  <si>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</si>
  <si>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</si>
  <si>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</si>
  <si>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</si>
  <si>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</si>
  <si>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</si>
  <si>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</si>
  <si>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</si>
  <si>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1500</t>
  </si>
  <si>
    <t>NTC</t>
  </si>
  <si>
    <t>PUP_R</t>
  </si>
  <si>
    <t>39000</t>
  </si>
  <si>
    <t>PUP_VOLT</t>
  </si>
  <si>
    <t>1800</t>
  </si>
  <si>
    <t>OVER_CRITICAL_L</t>
  </si>
  <si>
    <t>68237</t>
  </si>
  <si>
    <t>NTC_TABLE</t>
  </si>
  <si>
    <t>4</t>
  </si>
  <si>
    <t>Value</t>
  </si>
  <si>
    <t>Param</t>
  </si>
  <si>
    <t>AP ADC Channel</t>
  </si>
  <si>
    <t>TS inside MT6169 and may near PA</t>
  </si>
  <si>
    <t>TS inside MT6630</t>
  </si>
  <si>
    <t>TS inside MT6332 IC</t>
  </si>
  <si>
    <t>TS inside MT6331 IC</t>
  </si>
  <si>
    <t>mtkts1</t>
  </si>
  <si>
    <t>mtkts2</t>
  </si>
  <si>
    <t>mtkts3</t>
  </si>
  <si>
    <t>mtkts4</t>
  </si>
  <si>
    <t>TS1 inside MT6595 IC</t>
  </si>
  <si>
    <t>TS2 inside MT6595 IC</t>
  </si>
  <si>
    <t>TS3 inside MT6595 IC</t>
  </si>
  <si>
    <t>TS4 inside MT6595 IC</t>
  </si>
  <si>
    <t>TS Inside MT6595 IC near ABB</t>
  </si>
  <si>
    <t>Max temp in MT6595 TS</t>
  </si>
  <si>
    <t>AP NTC aka BTS</t>
  </si>
  <si>
    <t>EXIT</t>
  </si>
  <si>
    <t>960</t>
  </si>
  <si>
    <t>350</t>
  </si>
  <si>
    <t>mtktspopram</t>
  </si>
  <si>
    <t>Conversion of PoP DRAM refresh rate</t>
  </si>
  <si>
    <t>4000</t>
  </si>
  <si>
    <t>1100</t>
  </si>
  <si>
    <t>3</t>
  </si>
  <si>
    <t>10</t>
  </si>
  <si>
    <t>thp</t>
  </si>
  <si>
    <t>Tpcb pt coef</t>
  </si>
  <si>
    <t>Tpcb threshold</t>
  </si>
  <si>
    <t>Tj pt coef</t>
  </si>
  <si>
    <t>thp tj threshold</t>
  </si>
  <si>
    <t>sd_dbt</t>
  </si>
  <si>
    <t>debounce time</t>
  </si>
  <si>
    <t>Date Time</t>
  </si>
  <si>
    <t>History</t>
  </si>
  <si>
    <t>Modified from 6595e2_thermal_config_2007_V1.9.0.10_MTKonly.xlsm
For ALPS01703129 in KK1.MP11.FPB</t>
  </si>
  <si>
    <t>Modified from 6595e2_thermal_config_2007_V1.9.0.13_MTKonly_ALPS01703129.xlsm
For L migration</t>
  </si>
  <si>
    <t>/proc/driver/thermal/tzcpu</t>
  </si>
  <si>
    <t>/proc/driver/thermal/tzabb</t>
  </si>
  <si>
    <t>/proc/driver/thermal/tzpmic</t>
  </si>
  <si>
    <t>/proc/driver/thermal/tzbattery</t>
  </si>
  <si>
    <t>/proc/driver/thermal/tzpa</t>
  </si>
  <si>
    <t>/proc/driver/thermal/tzwmt</t>
  </si>
  <si>
    <t>/proc/driver/thermal/tzbts</t>
  </si>
  <si>
    <t>/proc/driver/thermal/tzbuck</t>
  </si>
  <si>
    <t>/proc/driver/thermal/tzts1</t>
  </si>
  <si>
    <t>/proc/driver/thermal/tzts2</t>
  </si>
  <si>
    <t>/proc/driver/thermal/tzts3</t>
  </si>
  <si>
    <t>/proc/driver/thermal/tzts4</t>
  </si>
  <si>
    <t>/proc/driver/thermal/tzpopram</t>
  </si>
  <si>
    <t>/proc/driver/thermal/clbcct</t>
  </si>
  <si>
    <t>/proc/driver/thermal/clwmt_val</t>
  </si>
  <si>
    <t>/proc/driver/thermal/clatm_setting</t>
  </si>
  <si>
    <t>/proc/driver/thermal/tzbts_param</t>
  </si>
  <si>
    <t>/proc/driver/thermal/clthp</t>
  </si>
  <si>
    <t>/proc/driver/thermal/clsd_dbt</t>
  </si>
  <si>
    <t>mtktsbtsmdpa</t>
  </si>
  <si>
    <t>/proc/driver/thermal/tzbtspa</t>
  </si>
  <si>
    <t>NTC nearby MD B7 PA</t>
  </si>
  <si>
    <t>Updated for mtktsbtsmdpa
Remove mtktspopram</t>
  </si>
  <si>
    <t>mtk-cl-mutt00</t>
  </si>
  <si>
    <t>mutt00 active ms</t>
  </si>
  <si>
    <t>mutt00 suspend ms</t>
  </si>
  <si>
    <t>mutt01 active ms</t>
  </si>
  <si>
    <t>mutt01 suspend ms</t>
  </si>
  <si>
    <t>mutt02 active ms</t>
  </si>
  <si>
    <t>mutt02 suspend ms</t>
  </si>
  <si>
    <t>mtk-cl-mutt02</t>
  </si>
  <si>
    <t>mtk-cl-mutt01</t>
  </si>
  <si>
    <t>mtk-cl-kshutdown</t>
  </si>
  <si>
    <t>/proc/driver/thermal/clmutt</t>
  </si>
  <si>
    <t>/proc/driver/thermal/tzbtspa_param</t>
  </si>
  <si>
    <t>12</t>
  </si>
  <si>
    <t>mutt03 active ms</t>
  </si>
  <si>
    <t>mutt03 suspend ms</t>
  </si>
  <si>
    <t>mtk-cl-mutt03</t>
  </si>
  <si>
    <t>ctm</t>
  </si>
  <si>
    <t>/proc/driver/thermal/clctm</t>
  </si>
  <si>
    <t>ctm on</t>
  </si>
  <si>
    <t>Target Tj 0</t>
  </si>
  <si>
    <t>Target Tj 2</t>
  </si>
  <si>
    <t>Tpcb 1</t>
  </si>
  <si>
    <t>Tpcb 2</t>
  </si>
  <si>
    <t>Exit Tj 0</t>
  </si>
  <si>
    <t>Exit Tj 2</t>
  </si>
  <si>
    <t>Enter_a</t>
  </si>
  <si>
    <t>Enter_b</t>
  </si>
  <si>
    <t>Exit_a</t>
  </si>
  <si>
    <t>Exit_b</t>
  </si>
  <si>
    <t>85000</t>
  </si>
  <si>
    <t>68000</t>
  </si>
  <si>
    <t>41000</t>
  </si>
  <si>
    <t>46000</t>
  </si>
  <si>
    <t>70000</t>
  </si>
  <si>
    <t>60000</t>
  </si>
  <si>
    <t>300</t>
  </si>
  <si>
    <t>1050</t>
  </si>
  <si>
    <t>3000</t>
  </si>
  <si>
    <t>mtk-cl-cam00</t>
  </si>
  <si>
    <t>750</t>
  </si>
  <si>
    <t>590</t>
  </si>
  <si>
    <t>38999</t>
  </si>
  <si>
    <t>43999</t>
  </si>
</sst>
</file>

<file path=xl/styles.xml><?xml version="1.0" encoding="utf-8"?>
<styleSheet xmlns="http://schemas.openxmlformats.org/spreadsheetml/2006/main">
  <fonts count="9">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52">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22" fontId="0" fillId="0" borderId="0" xfId="0" applyNumberFormat="1"/>
    <xf numFmtId="0" fontId="0" fillId="0" borderId="0" xfId="0" applyAlignment="1">
      <alignment wrapText="1"/>
    </xf>
    <xf numFmtId="0" fontId="8" fillId="4" borderId="7" xfId="0" applyFont="1" applyFill="1" applyBorder="1" applyAlignment="1" applyProtection="1">
      <alignment horizontal="left"/>
      <protection locked="0"/>
    </xf>
    <xf numFmtId="0" fontId="8" fillId="4" borderId="4" xfId="0" applyFont="1" applyFill="1" applyBorder="1" applyAlignment="1" applyProtection="1">
      <alignment horizontal="center" vertical="center"/>
      <protection locked="0"/>
    </xf>
    <xf numFmtId="0" fontId="8" fillId="4" borderId="5" xfId="0" applyFont="1" applyFill="1" applyBorder="1" applyAlignment="1" applyProtection="1">
      <alignment horizontal="center"/>
      <protection locked="0"/>
    </xf>
    <xf numFmtId="0" fontId="8" fillId="4" borderId="7" xfId="0" applyFont="1" applyFill="1" applyBorder="1" applyAlignment="1" applyProtection="1">
      <alignment horizontal="center"/>
      <protection locked="0"/>
    </xf>
    <xf numFmtId="0" fontId="8" fillId="4" borderId="8" xfId="0" applyFont="1" applyFill="1" applyBorder="1" applyAlignment="1" applyProtection="1">
      <alignment horizontal="center"/>
      <protection locked="0"/>
    </xf>
    <xf numFmtId="1" fontId="4" fillId="4" borderId="7" xfId="0" applyNumberFormat="1" applyFont="1" applyFill="1" applyBorder="1" applyAlignment="1" applyProtection="1">
      <alignment horizontal="left"/>
      <protection locked="0"/>
    </xf>
    <xf numFmtId="49" fontId="8" fillId="4" borderId="7" xfId="0" applyNumberFormat="1"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52_thermal_config_2007_V1.10.0.00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2_1.10.0.00_atm"/>
      <sheetName val="6752_1.10.0.00_tp"/>
      <sheetName val="6752_1.10.0.00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8" totalsRowShown="0">
  <autoFilter ref="A1:C68"/>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55"/>
  <dimension ref="A1:BA122"/>
  <sheetViews>
    <sheetView tabSelected="1" zoomScale="90" zoomScaleNormal="90" workbookViewId="0">
      <selection activeCell="AA38" sqref="AA38"/>
    </sheetView>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183</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3</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46">
        <v>6</v>
      </c>
      <c r="AB2" s="8"/>
      <c r="AC2" s="10"/>
      <c r="AD2" s="2" t="s">
        <v>9</v>
      </c>
      <c r="AE2" s="3">
        <v>1</v>
      </c>
      <c r="AF2" s="8"/>
      <c r="AG2" s="10"/>
      <c r="AH2" s="2" t="s">
        <v>9</v>
      </c>
      <c r="AI2" s="46">
        <v>5</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8">
        <v>100000</v>
      </c>
      <c r="AJ3" s="49"/>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108</v>
      </c>
      <c r="P5" s="14"/>
      <c r="Q5" s="10"/>
      <c r="R5" s="12" t="s">
        <v>5</v>
      </c>
      <c r="S5" s="13" t="s">
        <v>0</v>
      </c>
      <c r="T5" s="14"/>
      <c r="U5" s="10"/>
      <c r="V5" s="12" t="s">
        <v>5</v>
      </c>
      <c r="W5" s="13" t="s">
        <v>16</v>
      </c>
      <c r="X5" s="14"/>
      <c r="Y5" s="10"/>
      <c r="Z5" s="12" t="s">
        <v>5</v>
      </c>
      <c r="AA5" s="13" t="s">
        <v>3</v>
      </c>
      <c r="AB5" s="14"/>
      <c r="AC5" s="10"/>
      <c r="AD5" s="12" t="s">
        <v>5</v>
      </c>
      <c r="AE5" s="13" t="s">
        <v>17</v>
      </c>
      <c r="AF5" s="14"/>
      <c r="AG5" s="10"/>
      <c r="AH5" s="12" t="s">
        <v>5</v>
      </c>
      <c r="AI5" s="13" t="s">
        <v>32</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8">
        <v>53000</v>
      </c>
      <c r="AB10" s="49"/>
      <c r="AC10" s="10"/>
      <c r="AD10" s="12" t="s">
        <v>7</v>
      </c>
      <c r="AE10" s="13">
        <v>0</v>
      </c>
      <c r="AF10" s="14"/>
      <c r="AG10" s="10"/>
      <c r="AH10" s="12" t="s">
        <v>7</v>
      </c>
      <c r="AI10" s="48">
        <v>60999</v>
      </c>
      <c r="AJ10" s="49"/>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48">
        <v>0</v>
      </c>
      <c r="AB11" s="49"/>
      <c r="AC11" s="10"/>
      <c r="AD11" s="12" t="s">
        <v>6</v>
      </c>
      <c r="AE11" s="15">
        <v>0</v>
      </c>
      <c r="AF11" s="14"/>
      <c r="AG11" s="10"/>
      <c r="AH11" s="12" t="s">
        <v>6</v>
      </c>
      <c r="AI11" s="48">
        <v>0</v>
      </c>
      <c r="AJ11" s="49"/>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8" t="s">
        <v>111</v>
      </c>
      <c r="AB12" s="49"/>
      <c r="AC12" s="10"/>
      <c r="AD12" s="12" t="s">
        <v>5</v>
      </c>
      <c r="AE12" s="13" t="s">
        <v>4</v>
      </c>
      <c r="AF12" s="14"/>
      <c r="AG12" s="10"/>
      <c r="AH12" s="12" t="s">
        <v>5</v>
      </c>
      <c r="AI12" s="48" t="s">
        <v>202</v>
      </c>
      <c r="AJ12" s="49"/>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8" t="s">
        <v>144</v>
      </c>
      <c r="AB13" s="49">
        <v>2000</v>
      </c>
      <c r="AC13" s="10"/>
      <c r="AD13" s="12" t="s">
        <v>11</v>
      </c>
      <c r="AE13" s="15" t="s">
        <v>13</v>
      </c>
      <c r="AF13" s="14">
        <v>0</v>
      </c>
      <c r="AG13" s="10"/>
      <c r="AH13" s="12" t="s">
        <v>11</v>
      </c>
      <c r="AI13" s="48" t="s">
        <v>144</v>
      </c>
      <c r="AJ13" s="49">
        <v>3999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48" t="s">
        <v>13</v>
      </c>
      <c r="AB14" s="49">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48" t="s">
        <v>13</v>
      </c>
      <c r="AB15" s="49">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68000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52000</v>
      </c>
      <c r="AB17" s="14"/>
      <c r="AC17" s="10"/>
      <c r="AD17" s="12" t="s">
        <v>7</v>
      </c>
      <c r="AE17" s="13">
        <v>0</v>
      </c>
      <c r="AF17" s="14"/>
      <c r="AG17" s="10"/>
      <c r="AH17" s="12" t="s">
        <v>7</v>
      </c>
      <c r="AI17" s="48">
        <v>59999</v>
      </c>
      <c r="AJ17" s="49"/>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48">
        <v>0</v>
      </c>
      <c r="AJ18" s="49"/>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225</v>
      </c>
      <c r="AB19" s="14"/>
      <c r="AC19" s="10"/>
      <c r="AD19" s="12" t="s">
        <v>5</v>
      </c>
      <c r="AE19" s="13" t="s">
        <v>4</v>
      </c>
      <c r="AF19" s="14"/>
      <c r="AG19" s="10"/>
      <c r="AH19" s="12" t="s">
        <v>5</v>
      </c>
      <c r="AI19" s="48" t="s">
        <v>194</v>
      </c>
      <c r="AJ19" s="49"/>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144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144</v>
      </c>
      <c r="AB20" s="14">
        <v>7000</v>
      </c>
      <c r="AC20" s="10"/>
      <c r="AD20" s="12" t="s">
        <v>11</v>
      </c>
      <c r="AE20" s="15" t="s">
        <v>13</v>
      </c>
      <c r="AF20" s="14">
        <v>0</v>
      </c>
      <c r="AG20" s="10"/>
      <c r="AH20" s="12" t="s">
        <v>11</v>
      </c>
      <c r="AI20" s="48" t="s">
        <v>144</v>
      </c>
      <c r="AJ20" s="49">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8">
        <v>45000</v>
      </c>
      <c r="AB24" s="49"/>
      <c r="AC24" s="10"/>
      <c r="AD24" s="12" t="s">
        <v>7</v>
      </c>
      <c r="AE24" s="13">
        <v>0</v>
      </c>
      <c r="AF24" s="14"/>
      <c r="AG24" s="10"/>
      <c r="AH24" s="12" t="s">
        <v>7</v>
      </c>
      <c r="AI24" s="48">
        <v>57999</v>
      </c>
      <c r="AJ24" s="49"/>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8">
        <v>0</v>
      </c>
      <c r="AB25" s="49"/>
      <c r="AC25" s="10"/>
      <c r="AD25" s="12" t="s">
        <v>6</v>
      </c>
      <c r="AE25" s="15">
        <v>0</v>
      </c>
      <c r="AF25" s="14"/>
      <c r="AG25" s="10"/>
      <c r="AH25" s="12" t="s">
        <v>6</v>
      </c>
      <c r="AI25" s="48">
        <v>0</v>
      </c>
      <c r="AJ25" s="49"/>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8" t="s">
        <v>33</v>
      </c>
      <c r="AB26" s="49"/>
      <c r="AC26" s="10"/>
      <c r="AD26" s="12" t="s">
        <v>5</v>
      </c>
      <c r="AE26" s="13" t="s">
        <v>4</v>
      </c>
      <c r="AF26" s="14"/>
      <c r="AG26" s="10"/>
      <c r="AH26" s="12" t="s">
        <v>5</v>
      </c>
      <c r="AI26" s="48" t="s">
        <v>195</v>
      </c>
      <c r="AJ26" s="49"/>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8" t="s">
        <v>144</v>
      </c>
      <c r="AB27" s="49">
        <v>3000</v>
      </c>
      <c r="AC27" s="10"/>
      <c r="AD27" s="12" t="s">
        <v>11</v>
      </c>
      <c r="AE27" s="15" t="s">
        <v>13</v>
      </c>
      <c r="AF27" s="14">
        <v>0</v>
      </c>
      <c r="AG27" s="10"/>
      <c r="AH27" s="12" t="s">
        <v>11</v>
      </c>
      <c r="AI27" s="48" t="s">
        <v>144</v>
      </c>
      <c r="AJ27" s="49">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48" t="s">
        <v>13</v>
      </c>
      <c r="AB28" s="49">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48" t="s">
        <v>13</v>
      </c>
      <c r="AB29" s="49">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8">
        <v>44999</v>
      </c>
      <c r="AB31" s="49"/>
      <c r="AC31" s="10"/>
      <c r="AD31" s="12" t="s">
        <v>7</v>
      </c>
      <c r="AE31" s="13">
        <v>0</v>
      </c>
      <c r="AF31" s="14"/>
      <c r="AG31" s="10"/>
      <c r="AH31" s="12" t="s">
        <v>7</v>
      </c>
      <c r="AI31" s="48">
        <v>55999</v>
      </c>
      <c r="AJ31" s="49"/>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8">
        <v>0</v>
      </c>
      <c r="AB32" s="49"/>
      <c r="AC32" s="10"/>
      <c r="AD32" s="12" t="s">
        <v>6</v>
      </c>
      <c r="AE32" s="15">
        <v>0</v>
      </c>
      <c r="AF32" s="14"/>
      <c r="AG32" s="10"/>
      <c r="AH32" s="12" t="s">
        <v>6</v>
      </c>
      <c r="AI32" s="48">
        <v>0</v>
      </c>
      <c r="AJ32" s="49"/>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8" t="s">
        <v>110</v>
      </c>
      <c r="AB33" s="49"/>
      <c r="AC33" s="10"/>
      <c r="AD33" s="12" t="s">
        <v>5</v>
      </c>
      <c r="AE33" s="13" t="s">
        <v>4</v>
      </c>
      <c r="AF33" s="14"/>
      <c r="AG33" s="10"/>
      <c r="AH33" s="12" t="s">
        <v>5</v>
      </c>
      <c r="AI33" s="48" t="s">
        <v>187</v>
      </c>
      <c r="AJ33" s="49"/>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8" t="s">
        <v>144</v>
      </c>
      <c r="AB34" s="49">
        <v>4999</v>
      </c>
      <c r="AC34" s="10"/>
      <c r="AD34" s="12" t="s">
        <v>11</v>
      </c>
      <c r="AE34" s="15" t="s">
        <v>13</v>
      </c>
      <c r="AF34" s="14">
        <v>0</v>
      </c>
      <c r="AG34" s="10"/>
      <c r="AH34" s="12" t="s">
        <v>11</v>
      </c>
      <c r="AI34" s="48" t="s">
        <v>144</v>
      </c>
      <c r="AJ34" s="49">
        <v>1999</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48" t="s">
        <v>13</v>
      </c>
      <c r="AB35" s="49">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48" t="s">
        <v>13</v>
      </c>
      <c r="AB36" s="49">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8">
        <v>42000</v>
      </c>
      <c r="AB38" s="49"/>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8">
        <v>0</v>
      </c>
      <c r="AB39" s="49"/>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8" t="s">
        <v>109</v>
      </c>
      <c r="AB40" s="49"/>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8" t="s">
        <v>144</v>
      </c>
      <c r="AB41" s="49">
        <v>2000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48" t="s">
        <v>13</v>
      </c>
      <c r="AB42" s="49">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48" t="s">
        <v>13</v>
      </c>
      <c r="AB43" s="49">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36</v>
      </c>
      <c r="I77"/>
      <c r="J77" s="35" t="s">
        <v>5</v>
      </c>
      <c r="K77" s="36" t="s">
        <v>19</v>
      </c>
      <c r="L77" s="4" t="s">
        <v>37</v>
      </c>
      <c r="M77"/>
      <c r="N77" s="35" t="s">
        <v>5</v>
      </c>
      <c r="O77" s="36" t="s">
        <v>51</v>
      </c>
      <c r="P77" s="4" t="s">
        <v>36</v>
      </c>
      <c r="Q77"/>
      <c r="R77" s="35" t="s">
        <v>5</v>
      </c>
      <c r="S77" s="36" t="s">
        <v>52</v>
      </c>
      <c r="T77" s="4" t="s">
        <v>37</v>
      </c>
      <c r="U77"/>
      <c r="V77" s="35" t="s">
        <v>5</v>
      </c>
      <c r="W77" s="36" t="s">
        <v>53</v>
      </c>
      <c r="X77" s="4" t="s">
        <v>37</v>
      </c>
      <c r="Y77"/>
      <c r="Z77" s="35" t="s">
        <v>5</v>
      </c>
      <c r="AA77" s="36" t="s">
        <v>203</v>
      </c>
      <c r="AB77" s="4" t="s">
        <v>36</v>
      </c>
      <c r="AC77"/>
      <c r="AD77" s="35" t="s">
        <v>5</v>
      </c>
      <c r="AE77" s="36" t="s">
        <v>158</v>
      </c>
      <c r="AF77" s="4" t="s">
        <v>36</v>
      </c>
      <c r="AG77"/>
      <c r="AH77" s="35" t="s">
        <v>5</v>
      </c>
      <c r="AI77" s="36" t="s">
        <v>187</v>
      </c>
      <c r="AJ77" s="4" t="s">
        <v>36</v>
      </c>
      <c r="AK77"/>
      <c r="AL77" s="35" t="s">
        <v>117</v>
      </c>
      <c r="AM77" s="36" t="s">
        <v>183</v>
      </c>
      <c r="AN77" s="4" t="s">
        <v>36</v>
      </c>
      <c r="AO77"/>
      <c r="AP77" s="35" t="s">
        <v>5</v>
      </c>
      <c r="AQ77" s="36" t="s">
        <v>153</v>
      </c>
      <c r="AR77" s="4" t="s">
        <v>37</v>
      </c>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205</v>
      </c>
      <c r="AB78" s="38" t="s">
        <v>64</v>
      </c>
      <c r="AC78"/>
      <c r="AD78" s="35" t="s">
        <v>38</v>
      </c>
      <c r="AE78" s="36" t="s">
        <v>159</v>
      </c>
      <c r="AF78" s="36">
        <v>3</v>
      </c>
      <c r="AG78"/>
      <c r="AH78" s="35" t="s">
        <v>38</v>
      </c>
      <c r="AI78" s="36" t="s">
        <v>42</v>
      </c>
      <c r="AJ78" s="36">
        <v>0</v>
      </c>
      <c r="AK78"/>
      <c r="AL78" s="35" t="s">
        <v>38</v>
      </c>
      <c r="AM78" s="36" t="s">
        <v>127</v>
      </c>
      <c r="AN78" s="38" t="s">
        <v>118</v>
      </c>
      <c r="AO78"/>
      <c r="AP78" s="35" t="s">
        <v>38</v>
      </c>
      <c r="AQ78" s="36" t="s">
        <v>154</v>
      </c>
      <c r="AR78" s="36">
        <v>0</v>
      </c>
      <c r="AS78"/>
      <c r="AT78"/>
      <c r="AU78"/>
      <c r="AV78"/>
      <c r="AW78"/>
      <c r="AX78"/>
      <c r="AY78"/>
      <c r="AZ78"/>
      <c r="BA78"/>
    </row>
    <row r="79" spans="1:53" s="7" customFormat="1" ht="15">
      <c r="A79"/>
      <c r="B79" s="35" t="s">
        <v>38</v>
      </c>
      <c r="C79" s="36" t="s">
        <v>126</v>
      </c>
      <c r="D79" s="38" t="s">
        <v>119</v>
      </c>
      <c r="E79"/>
      <c r="F79" s="35" t="s">
        <v>38</v>
      </c>
      <c r="G79" s="36" t="s">
        <v>39</v>
      </c>
      <c r="H79" s="36">
        <v>550</v>
      </c>
      <c r="I79"/>
      <c r="J79" s="35" t="s">
        <v>38</v>
      </c>
      <c r="K79" s="36" t="s">
        <v>44</v>
      </c>
      <c r="L79" s="38" t="s">
        <v>45</v>
      </c>
      <c r="M79"/>
      <c r="N79" s="35" t="s">
        <v>38</v>
      </c>
      <c r="O79" s="36" t="s">
        <v>54</v>
      </c>
      <c r="P79" s="38" t="s">
        <v>224</v>
      </c>
      <c r="Q79"/>
      <c r="R79" s="35" t="s">
        <v>38</v>
      </c>
      <c r="S79" s="36" t="s">
        <v>54</v>
      </c>
      <c r="T79" s="38" t="s">
        <v>115</v>
      </c>
      <c r="U79"/>
      <c r="V79" s="35" t="s">
        <v>38</v>
      </c>
      <c r="W79" s="36" t="s">
        <v>54</v>
      </c>
      <c r="X79" s="38" t="s">
        <v>116</v>
      </c>
      <c r="Y79"/>
      <c r="Z79" s="35" t="s">
        <v>38</v>
      </c>
      <c r="AA79" s="36" t="s">
        <v>206</v>
      </c>
      <c r="AB79" s="38" t="s">
        <v>216</v>
      </c>
      <c r="AC79"/>
      <c r="AD79"/>
      <c r="AE79"/>
      <c r="AF79"/>
      <c r="AG79"/>
      <c r="AH79" s="35" t="s">
        <v>38</v>
      </c>
      <c r="AI79" s="36" t="s">
        <v>188</v>
      </c>
      <c r="AJ79" s="45">
        <v>400</v>
      </c>
      <c r="AK79"/>
      <c r="AL79" s="35" t="s">
        <v>38</v>
      </c>
      <c r="AM79" s="36" t="s">
        <v>126</v>
      </c>
      <c r="AN79" s="38" t="s">
        <v>119</v>
      </c>
      <c r="AO79"/>
      <c r="AP79" s="35" t="s">
        <v>38</v>
      </c>
      <c r="AQ79" s="36" t="s">
        <v>155</v>
      </c>
      <c r="AR79" s="36">
        <v>0</v>
      </c>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207</v>
      </c>
      <c r="AB80" s="38" t="s">
        <v>217</v>
      </c>
      <c r="AC80"/>
      <c r="AD80"/>
      <c r="AE80"/>
      <c r="AF80"/>
      <c r="AG80"/>
      <c r="AH80" s="35" t="s">
        <v>38</v>
      </c>
      <c r="AI80" s="36" t="s">
        <v>189</v>
      </c>
      <c r="AJ80" s="45">
        <v>100</v>
      </c>
      <c r="AK80"/>
      <c r="AL80" s="35" t="s">
        <v>38</v>
      </c>
      <c r="AM80" s="36" t="s">
        <v>127</v>
      </c>
      <c r="AN80" s="38" t="s">
        <v>120</v>
      </c>
      <c r="AO80"/>
      <c r="AP80" s="35" t="s">
        <v>38</v>
      </c>
      <c r="AQ80" s="36" t="s">
        <v>156</v>
      </c>
      <c r="AR80" s="36">
        <v>0</v>
      </c>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152</v>
      </c>
      <c r="Q81"/>
      <c r="R81" s="35" t="s">
        <v>38</v>
      </c>
      <c r="S81" s="36" t="s">
        <v>66</v>
      </c>
      <c r="T81" s="38" t="s">
        <v>152</v>
      </c>
      <c r="U81"/>
      <c r="V81" s="35" t="s">
        <v>38</v>
      </c>
      <c r="W81" s="36" t="s">
        <v>66</v>
      </c>
      <c r="X81" s="38" t="s">
        <v>152</v>
      </c>
      <c r="Y81"/>
      <c r="Z81" s="35" t="s">
        <v>38</v>
      </c>
      <c r="AA81" s="36" t="s">
        <v>208</v>
      </c>
      <c r="AB81" s="38" t="s">
        <v>228</v>
      </c>
      <c r="AC81"/>
      <c r="AD81"/>
      <c r="AE81"/>
      <c r="AF81"/>
      <c r="AG81"/>
      <c r="AH81" s="35" t="s">
        <v>38</v>
      </c>
      <c r="AI81" s="36" t="s">
        <v>190</v>
      </c>
      <c r="AJ81" s="45">
        <v>100</v>
      </c>
      <c r="AK81"/>
      <c r="AL81" s="35" t="s">
        <v>38</v>
      </c>
      <c r="AM81" s="36" t="s">
        <v>126</v>
      </c>
      <c r="AN81" s="38" t="s">
        <v>121</v>
      </c>
      <c r="AO81"/>
      <c r="AP81" s="35" t="s">
        <v>38</v>
      </c>
      <c r="AQ81" s="36" t="s">
        <v>157</v>
      </c>
      <c r="AR81" s="36">
        <v>0</v>
      </c>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64</v>
      </c>
      <c r="Q82"/>
      <c r="R82" s="35" t="s">
        <v>38</v>
      </c>
      <c r="S82" s="36" t="s">
        <v>57</v>
      </c>
      <c r="T82" s="38" t="s">
        <v>58</v>
      </c>
      <c r="U82"/>
      <c r="V82" s="35" t="s">
        <v>38</v>
      </c>
      <c r="W82" s="36" t="s">
        <v>57</v>
      </c>
      <c r="X82" s="38" t="s">
        <v>58</v>
      </c>
      <c r="Y82"/>
      <c r="Z82" s="35" t="s">
        <v>38</v>
      </c>
      <c r="AA82" s="36" t="s">
        <v>209</v>
      </c>
      <c r="AB82" s="38" t="s">
        <v>229</v>
      </c>
      <c r="AC82"/>
      <c r="AD82"/>
      <c r="AE82"/>
      <c r="AF82"/>
      <c r="AG82"/>
      <c r="AH82" s="35" t="s">
        <v>38</v>
      </c>
      <c r="AI82" s="36" t="s">
        <v>191</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51" t="s">
        <v>227</v>
      </c>
      <c r="Q83"/>
      <c r="R83" s="35" t="s">
        <v>38</v>
      </c>
      <c r="S83" s="36" t="s">
        <v>55</v>
      </c>
      <c r="T83" s="38" t="s">
        <v>150</v>
      </c>
      <c r="U83"/>
      <c r="V83" s="35" t="s">
        <v>38</v>
      </c>
      <c r="W83" s="36" t="s">
        <v>55</v>
      </c>
      <c r="X83" s="38" t="s">
        <v>150</v>
      </c>
      <c r="Y83"/>
      <c r="Z83" s="35" t="s">
        <v>38</v>
      </c>
      <c r="AA83" s="36" t="s">
        <v>210</v>
      </c>
      <c r="AB83" s="38" t="s">
        <v>220</v>
      </c>
      <c r="AC83"/>
      <c r="AD83"/>
      <c r="AE83"/>
      <c r="AF83"/>
      <c r="AG83"/>
      <c r="AH83" s="35" t="s">
        <v>38</v>
      </c>
      <c r="AI83" s="36" t="s">
        <v>192</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149</v>
      </c>
      <c r="Q84"/>
      <c r="R84" s="35" t="s">
        <v>38</v>
      </c>
      <c r="S84" s="36" t="s">
        <v>56</v>
      </c>
      <c r="T84" s="38" t="s">
        <v>149</v>
      </c>
      <c r="U84"/>
      <c r="V84" s="35" t="s">
        <v>38</v>
      </c>
      <c r="W84" s="36" t="s">
        <v>56</v>
      </c>
      <c r="X84" s="38" t="s">
        <v>149</v>
      </c>
      <c r="Y84"/>
      <c r="Z84" s="35" t="s">
        <v>38</v>
      </c>
      <c r="AA84" s="36" t="s">
        <v>211</v>
      </c>
      <c r="AB84" s="38" t="s">
        <v>221</v>
      </c>
      <c r="AC84"/>
      <c r="AD84"/>
      <c r="AE84"/>
      <c r="AF84"/>
      <c r="AG84"/>
      <c r="AH84" s="35" t="s">
        <v>38</v>
      </c>
      <c r="AI84" s="36" t="s">
        <v>193</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222</v>
      </c>
      <c r="Q85"/>
      <c r="R85" s="35" t="s">
        <v>38</v>
      </c>
      <c r="S85" s="36" t="s">
        <v>59</v>
      </c>
      <c r="T85" s="38" t="s">
        <v>222</v>
      </c>
      <c r="U85"/>
      <c r="V85" s="35" t="s">
        <v>38</v>
      </c>
      <c r="W85" s="36" t="s">
        <v>59</v>
      </c>
      <c r="X85" s="38" t="s">
        <v>222</v>
      </c>
      <c r="Y85"/>
      <c r="Z85" s="35" t="s">
        <v>38</v>
      </c>
      <c r="AA85" s="36" t="s">
        <v>212</v>
      </c>
      <c r="AB85" s="50">
        <f>ROUND(AB80+AB86*AB82/1000, 0)</f>
        <v>217597</v>
      </c>
      <c r="AC85"/>
      <c r="AD85"/>
      <c r="AE85"/>
      <c r="AF85"/>
      <c r="AG85"/>
      <c r="AH85" s="35" t="s">
        <v>38</v>
      </c>
      <c r="AI85" s="36" t="s">
        <v>200</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223</v>
      </c>
      <c r="Q86"/>
      <c r="R86" s="35" t="s">
        <v>38</v>
      </c>
      <c r="S86" s="36" t="s">
        <v>60</v>
      </c>
      <c r="T86" s="38" t="s">
        <v>223</v>
      </c>
      <c r="U86"/>
      <c r="V86" s="35" t="s">
        <v>38</v>
      </c>
      <c r="W86" s="36" t="s">
        <v>60</v>
      </c>
      <c r="X86" s="38" t="s">
        <v>223</v>
      </c>
      <c r="Y86"/>
      <c r="Z86" s="41" t="s">
        <v>38</v>
      </c>
      <c r="AA86" s="42" t="s">
        <v>213</v>
      </c>
      <c r="AB86" s="50">
        <f>ROUND((AB79-AB80)*1000/(AB82-AB81),0)</f>
        <v>3400</v>
      </c>
      <c r="AC86"/>
      <c r="AD86"/>
      <c r="AE86"/>
      <c r="AF86"/>
      <c r="AG86"/>
      <c r="AH86" s="35" t="s">
        <v>38</v>
      </c>
      <c r="AI86" s="36" t="s">
        <v>201</v>
      </c>
      <c r="AJ86" s="45">
        <v>25500</v>
      </c>
      <c r="AK86"/>
      <c r="AL86" s="41" t="s">
        <v>38</v>
      </c>
      <c r="AM86" s="42" t="s">
        <v>128</v>
      </c>
      <c r="AN86" s="38" t="s">
        <v>199</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s="35" t="s">
        <v>38</v>
      </c>
      <c r="AA87" s="36" t="s">
        <v>214</v>
      </c>
      <c r="AB87" s="50">
        <f>ROUND(AB84+AB88*AB82/1000,0)</f>
        <v>147998</v>
      </c>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s="41" t="s">
        <v>38</v>
      </c>
      <c r="AA88" s="42" t="s">
        <v>215</v>
      </c>
      <c r="AB88" s="50">
        <f>ROUND((AB83-AB84)*1000/(AB82-AB81),0)</f>
        <v>2000</v>
      </c>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qref="AE61 AE54 AE47 AE40 AE33 AE26 AE19 C40 AE68 O5 C47 C5 AY12 AY68 C54 C61 C68 G12 G5 G19 G26 G33 G40 G47 G54 G61 G68 K12 K5 K19 K26 K33 K40 K47 K54 K61 K68 O12 AE5 O19 O26 O33 O40 O47 O54 O61 O68 S12 S5 S19 S26 S33 S40 S47 S54 S61 S68 W12 W5 W19 W26 W33 W40 W47 W54 W61 W68 AY5 AA19 C12 AA68 AA61 AA54 AA47 AI40 AA12 AI68 AA5 C26 C33 AM61 AM54 AM47 AM40 AM33 AM26 AM19 AM12 AM68 AU5 AQ61 AQ54 AQ47 AQ40 AQ33 AQ26 AQ19 AQ12 AQ68 AM5 AU61 AU54 AU47 AU40 AU33 AU26 AU19 AU12 AU68 AQ5 AY61 AY54 AY47 AY40 AY33 AY26 AY19 AA26 C19 AE12 AI61 AI54 AI47 AA40 AA33 AI5">
      <formula1>'6595_coolers'!A2:A136</formula1>
    </dataValidation>
    <dataValidation type="list" allowBlank="1" showInputMessage="1" showErrorMessage="1" sqref="AE1 C1 G1 K1 O1 S1 W1 AA1 AM1 AQ1 AU1 AY1 AI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Y6:AY8 C6:C8 AY13:AY15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Y62:AY64 AA41:AA43 AU6:AU8 C13:C15 AA55:AA57 AA48:AA50 AI69:AI71 AI62:AI64 AA34:AA36 AA20:AA22 C34:C36 AA69:AA71 C27:C29 AA62:AA64 AM55:AM57 AM48:AM50 AM41:AM43 AM34:AM36 AM27:AM29 AM20:AM22 AM69:AM71 AM13:AM15 AM62:AM64 C48:C50 AQ55:AQ57 AQ48:AQ50 AQ41:AQ43 AQ34:AQ36 AQ27:AQ29 AQ20:AQ22 AQ69:AQ71 AQ13:AQ15 AQ62:AQ64 AM6:AM8 AU55:AU57 AU48:AU50 AU41:AU43 AU34:AU36 AU27:AU29 AU20:AU22 AU69:AU71 AU13:AU15 AU62:AU64 AQ6:AQ8 AY55:AY57 AY48:AY50 AY41:AY43 AY34:AY36 AY27:AY29 AY20:AY22 AY69:AY71 C20:C22 AA13:AA15 C41:C43 AI55:AI57 AI48:AI50 AI41:AI43 AA27:AA29 AA6:AA8 AI6:AI8 AI20:AI22 AI13:AI15 AI34:AI36 AI27:AI29">
      <formula1>"NULL, CPU0 loading(%), Wifi usage(Kb/s), EXIT, mtktscpu, mtktsabb, mtktspmic, mtktsbattery, mtktspa, mtktswmt, mtktsAP, mtktsbuck, mtktsbattery2, mtktsxtal"</formula1>
    </dataValidation>
    <dataValidation type="list" allowBlank="1" showInputMessage="1" showErrorMessage="1" sqref="AB1 D1 H1 T1 X1 P1 L1 AB77 X77 L77 P77 T77 D77 AF1 AN1 AR1 AV1 AZ1 AR77 AF77 AJ1 AJ77 AN77 H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 type="list" allowBlank="1" showInputMessage="1" sqref="AI26 AI12 AI19 AI33">
      <formula1>'[1]6752_coolers'!A2:A134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6"/>
  <dimension ref="A1:BA122"/>
  <sheetViews>
    <sheetView zoomScale="90" zoomScaleNormal="90" workbookViewId="0">
      <selection activeCell="AI2" sqref="AI2:AJ36"/>
    </sheetView>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183</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5</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46">
        <v>6</v>
      </c>
      <c r="AB2" s="8"/>
      <c r="AC2" s="10"/>
      <c r="AD2" s="2" t="s">
        <v>9</v>
      </c>
      <c r="AE2" s="3">
        <v>1</v>
      </c>
      <c r="AF2" s="8"/>
      <c r="AG2" s="10"/>
      <c r="AH2" s="2" t="s">
        <v>9</v>
      </c>
      <c r="AI2" s="46">
        <v>5</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8">
        <v>100000</v>
      </c>
      <c r="AJ3" s="49"/>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108</v>
      </c>
      <c r="P5" s="14"/>
      <c r="Q5" s="10"/>
      <c r="R5" s="12" t="s">
        <v>5</v>
      </c>
      <c r="S5" s="13" t="s">
        <v>0</v>
      </c>
      <c r="T5" s="14"/>
      <c r="U5" s="10"/>
      <c r="V5" s="12" t="s">
        <v>5</v>
      </c>
      <c r="W5" s="13" t="s">
        <v>16</v>
      </c>
      <c r="X5" s="14"/>
      <c r="Y5" s="10"/>
      <c r="Z5" s="12" t="s">
        <v>5</v>
      </c>
      <c r="AA5" s="13" t="s">
        <v>3</v>
      </c>
      <c r="AB5" s="14"/>
      <c r="AC5" s="10"/>
      <c r="AD5" s="12" t="s">
        <v>5</v>
      </c>
      <c r="AE5" s="13" t="s">
        <v>17</v>
      </c>
      <c r="AF5" s="14"/>
      <c r="AG5" s="10"/>
      <c r="AH5" s="12" t="s">
        <v>5</v>
      </c>
      <c r="AI5" s="48" t="s">
        <v>196</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8">
        <v>53000</v>
      </c>
      <c r="AB10" s="49"/>
      <c r="AC10" s="10"/>
      <c r="AD10" s="12" t="s">
        <v>7</v>
      </c>
      <c r="AE10" s="13">
        <v>0</v>
      </c>
      <c r="AF10" s="14"/>
      <c r="AG10" s="10"/>
      <c r="AH10" s="12" t="s">
        <v>7</v>
      </c>
      <c r="AI10" s="48">
        <v>60999</v>
      </c>
      <c r="AJ10" s="49"/>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48">
        <v>0</v>
      </c>
      <c r="AB11" s="49"/>
      <c r="AC11" s="10"/>
      <c r="AD11" s="12" t="s">
        <v>6</v>
      </c>
      <c r="AE11" s="15">
        <v>0</v>
      </c>
      <c r="AF11" s="14"/>
      <c r="AG11" s="10"/>
      <c r="AH11" s="12" t="s">
        <v>6</v>
      </c>
      <c r="AI11" s="48">
        <v>0</v>
      </c>
      <c r="AJ11" s="49"/>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8" t="s">
        <v>111</v>
      </c>
      <c r="AB12" s="49"/>
      <c r="AC12" s="10"/>
      <c r="AD12" s="12" t="s">
        <v>5</v>
      </c>
      <c r="AE12" s="13" t="s">
        <v>4</v>
      </c>
      <c r="AF12" s="14"/>
      <c r="AG12" s="10"/>
      <c r="AH12" s="12" t="s">
        <v>5</v>
      </c>
      <c r="AI12" s="48" t="s">
        <v>202</v>
      </c>
      <c r="AJ12" s="49"/>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8" t="s">
        <v>144</v>
      </c>
      <c r="AB13" s="49">
        <v>2000</v>
      </c>
      <c r="AC13" s="10"/>
      <c r="AD13" s="12" t="s">
        <v>11</v>
      </c>
      <c r="AE13" s="15" t="s">
        <v>13</v>
      </c>
      <c r="AF13" s="14">
        <v>0</v>
      </c>
      <c r="AG13" s="10"/>
      <c r="AH13" s="12" t="s">
        <v>11</v>
      </c>
      <c r="AI13" s="48" t="s">
        <v>144</v>
      </c>
      <c r="AJ13" s="49">
        <v>3999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48" t="s">
        <v>13</v>
      </c>
      <c r="AB14" s="49">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48" t="s">
        <v>13</v>
      </c>
      <c r="AB15" s="49">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52000</v>
      </c>
      <c r="AB17" s="14"/>
      <c r="AC17" s="10"/>
      <c r="AD17" s="12" t="s">
        <v>7</v>
      </c>
      <c r="AE17" s="13">
        <v>0</v>
      </c>
      <c r="AF17" s="14"/>
      <c r="AG17" s="10"/>
      <c r="AH17" s="12" t="s">
        <v>7</v>
      </c>
      <c r="AI17" s="48">
        <v>59999</v>
      </c>
      <c r="AJ17" s="49"/>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48">
        <v>0</v>
      </c>
      <c r="AJ18" s="49"/>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225</v>
      </c>
      <c r="AB19" s="14"/>
      <c r="AC19" s="10"/>
      <c r="AD19" s="12" t="s">
        <v>5</v>
      </c>
      <c r="AE19" s="13" t="s">
        <v>4</v>
      </c>
      <c r="AF19" s="14"/>
      <c r="AG19" s="10"/>
      <c r="AH19" s="12" t="s">
        <v>5</v>
      </c>
      <c r="AI19" s="48" t="s">
        <v>194</v>
      </c>
      <c r="AJ19" s="49"/>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144</v>
      </c>
      <c r="D20" s="14">
        <v>25000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144</v>
      </c>
      <c r="AB20" s="14">
        <v>7000</v>
      </c>
      <c r="AC20" s="10"/>
      <c r="AD20" s="12" t="s">
        <v>11</v>
      </c>
      <c r="AE20" s="15" t="s">
        <v>13</v>
      </c>
      <c r="AF20" s="14">
        <v>0</v>
      </c>
      <c r="AG20" s="10"/>
      <c r="AH20" s="12" t="s">
        <v>11</v>
      </c>
      <c r="AI20" s="48" t="s">
        <v>144</v>
      </c>
      <c r="AJ20" s="49">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48">
        <v>78000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8">
        <v>45000</v>
      </c>
      <c r="AB24" s="49"/>
      <c r="AC24" s="10"/>
      <c r="AD24" s="12" t="s">
        <v>7</v>
      </c>
      <c r="AE24" s="13">
        <v>0</v>
      </c>
      <c r="AF24" s="14"/>
      <c r="AG24" s="10"/>
      <c r="AH24" s="12" t="s">
        <v>7</v>
      </c>
      <c r="AI24" s="48">
        <v>57999</v>
      </c>
      <c r="AJ24" s="49"/>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8">
        <v>0</v>
      </c>
      <c r="AB25" s="49"/>
      <c r="AC25" s="10"/>
      <c r="AD25" s="12" t="s">
        <v>6</v>
      </c>
      <c r="AE25" s="15">
        <v>0</v>
      </c>
      <c r="AF25" s="14"/>
      <c r="AG25" s="10"/>
      <c r="AH25" s="12" t="s">
        <v>6</v>
      </c>
      <c r="AI25" s="48">
        <v>0</v>
      </c>
      <c r="AJ25" s="49"/>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52</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8" t="s">
        <v>33</v>
      </c>
      <c r="AB26" s="49"/>
      <c r="AC26" s="10"/>
      <c r="AD26" s="12" t="s">
        <v>5</v>
      </c>
      <c r="AE26" s="13" t="s">
        <v>4</v>
      </c>
      <c r="AF26" s="14"/>
      <c r="AG26" s="10"/>
      <c r="AH26" s="12" t="s">
        <v>5</v>
      </c>
      <c r="AI26" s="48" t="s">
        <v>195</v>
      </c>
      <c r="AJ26" s="49"/>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68</v>
      </c>
      <c r="D27" s="14">
        <v>38999</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8" t="s">
        <v>144</v>
      </c>
      <c r="AB27" s="49">
        <v>3000</v>
      </c>
      <c r="AC27" s="10"/>
      <c r="AD27" s="12" t="s">
        <v>11</v>
      </c>
      <c r="AE27" s="15" t="s">
        <v>13</v>
      </c>
      <c r="AF27" s="14">
        <v>0</v>
      </c>
      <c r="AG27" s="10"/>
      <c r="AH27" s="12" t="s">
        <v>11</v>
      </c>
      <c r="AI27" s="48" t="s">
        <v>144</v>
      </c>
      <c r="AJ27" s="49">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144</v>
      </c>
      <c r="D28" s="14">
        <v>18000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48" t="s">
        <v>13</v>
      </c>
      <c r="AB28" s="49">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48" t="s">
        <v>13</v>
      </c>
      <c r="AB29" s="49">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48">
        <v>68000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8">
        <v>44999</v>
      </c>
      <c r="AB31" s="49"/>
      <c r="AC31" s="10"/>
      <c r="AD31" s="12" t="s">
        <v>7</v>
      </c>
      <c r="AE31" s="13">
        <v>0</v>
      </c>
      <c r="AF31" s="14"/>
      <c r="AG31" s="10"/>
      <c r="AH31" s="12" t="s">
        <v>7</v>
      </c>
      <c r="AI31" s="48">
        <v>55999</v>
      </c>
      <c r="AJ31" s="49"/>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8">
        <v>0</v>
      </c>
      <c r="AB32" s="49"/>
      <c r="AC32" s="10"/>
      <c r="AD32" s="12" t="s">
        <v>6</v>
      </c>
      <c r="AE32" s="15">
        <v>0</v>
      </c>
      <c r="AF32" s="14"/>
      <c r="AG32" s="10"/>
      <c r="AH32" s="12" t="s">
        <v>6</v>
      </c>
      <c r="AI32" s="48">
        <v>0</v>
      </c>
      <c r="AJ32" s="49"/>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53</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8" t="s">
        <v>110</v>
      </c>
      <c r="AB33" s="49"/>
      <c r="AC33" s="10"/>
      <c r="AD33" s="12" t="s">
        <v>5</v>
      </c>
      <c r="AE33" s="13" t="s">
        <v>4</v>
      </c>
      <c r="AF33" s="14"/>
      <c r="AG33" s="10"/>
      <c r="AH33" s="12" t="s">
        <v>5</v>
      </c>
      <c r="AI33" s="48" t="s">
        <v>187</v>
      </c>
      <c r="AJ33" s="49"/>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68</v>
      </c>
      <c r="D34" s="14">
        <v>43999</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8" t="s">
        <v>144</v>
      </c>
      <c r="AB34" s="49">
        <v>4999</v>
      </c>
      <c r="AC34" s="10"/>
      <c r="AD34" s="12" t="s">
        <v>11</v>
      </c>
      <c r="AE34" s="15" t="s">
        <v>13</v>
      </c>
      <c r="AF34" s="14">
        <v>0</v>
      </c>
      <c r="AG34" s="10"/>
      <c r="AH34" s="12" t="s">
        <v>11</v>
      </c>
      <c r="AI34" s="48" t="s">
        <v>144</v>
      </c>
      <c r="AJ34" s="49">
        <v>1999</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144</v>
      </c>
      <c r="D35" s="14">
        <v>7000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48" t="s">
        <v>13</v>
      </c>
      <c r="AB35" s="49">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48" t="s">
        <v>13</v>
      </c>
      <c r="AB36" s="49">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8">
        <v>42000</v>
      </c>
      <c r="AB38" s="49"/>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8">
        <v>0</v>
      </c>
      <c r="AB39" s="49"/>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8" t="s">
        <v>109</v>
      </c>
      <c r="AB40" s="49"/>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8" t="s">
        <v>144</v>
      </c>
      <c r="AB41" s="49">
        <v>2000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48" t="s">
        <v>13</v>
      </c>
      <c r="AB42" s="49">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48" t="s">
        <v>13</v>
      </c>
      <c r="AB43" s="49">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36</v>
      </c>
      <c r="I77"/>
      <c r="J77" s="35" t="s">
        <v>5</v>
      </c>
      <c r="K77" s="36" t="s">
        <v>19</v>
      </c>
      <c r="L77" s="4" t="s">
        <v>37</v>
      </c>
      <c r="M77"/>
      <c r="N77" s="35" t="s">
        <v>5</v>
      </c>
      <c r="O77" s="36" t="s">
        <v>51</v>
      </c>
      <c r="P77" s="4" t="s">
        <v>36</v>
      </c>
      <c r="Q77"/>
      <c r="R77" s="35" t="s">
        <v>5</v>
      </c>
      <c r="S77" s="36" t="s">
        <v>52</v>
      </c>
      <c r="T77" s="4" t="s">
        <v>36</v>
      </c>
      <c r="U77"/>
      <c r="V77" s="35" t="s">
        <v>5</v>
      </c>
      <c r="W77" s="36" t="s">
        <v>53</v>
      </c>
      <c r="X77" s="4" t="s">
        <v>36</v>
      </c>
      <c r="Y77"/>
      <c r="Z77" s="35" t="s">
        <v>5</v>
      </c>
      <c r="AA77" s="36" t="s">
        <v>203</v>
      </c>
      <c r="AB77" s="4" t="s">
        <v>36</v>
      </c>
      <c r="AC77"/>
      <c r="AD77" s="35" t="s">
        <v>5</v>
      </c>
      <c r="AE77" s="36" t="s">
        <v>158</v>
      </c>
      <c r="AF77" s="4" t="s">
        <v>36</v>
      </c>
      <c r="AG77"/>
      <c r="AH77" s="35" t="s">
        <v>5</v>
      </c>
      <c r="AI77" s="36" t="s">
        <v>187</v>
      </c>
      <c r="AJ77" s="4" t="s">
        <v>36</v>
      </c>
      <c r="AK77"/>
      <c r="AL77" s="35" t="s">
        <v>117</v>
      </c>
      <c r="AM77" s="36" t="s">
        <v>183</v>
      </c>
      <c r="AN77" s="4" t="s">
        <v>36</v>
      </c>
      <c r="AO77"/>
      <c r="AP77" s="35" t="s">
        <v>5</v>
      </c>
      <c r="AQ77" s="36" t="s">
        <v>153</v>
      </c>
      <c r="AR77" s="4" t="s">
        <v>37</v>
      </c>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205</v>
      </c>
      <c r="AB78" s="38" t="s">
        <v>63</v>
      </c>
      <c r="AC78"/>
      <c r="AD78" s="35" t="s">
        <v>38</v>
      </c>
      <c r="AE78" s="36" t="s">
        <v>159</v>
      </c>
      <c r="AF78" s="36">
        <v>3</v>
      </c>
      <c r="AG78"/>
      <c r="AH78" s="35" t="s">
        <v>38</v>
      </c>
      <c r="AI78" s="36" t="s">
        <v>42</v>
      </c>
      <c r="AJ78" s="36">
        <v>0</v>
      </c>
      <c r="AK78"/>
      <c r="AL78" s="35" t="s">
        <v>38</v>
      </c>
      <c r="AM78" s="36" t="s">
        <v>127</v>
      </c>
      <c r="AN78" s="38" t="s">
        <v>118</v>
      </c>
      <c r="AO78"/>
      <c r="AP78" s="35" t="s">
        <v>38</v>
      </c>
      <c r="AQ78" s="36" t="s">
        <v>154</v>
      </c>
      <c r="AR78" s="36">
        <v>0</v>
      </c>
      <c r="AS78"/>
      <c r="AT78"/>
      <c r="AU78"/>
      <c r="AV78"/>
      <c r="AW78"/>
      <c r="AX78"/>
      <c r="AY78"/>
      <c r="AZ78"/>
      <c r="BA78"/>
    </row>
    <row r="79" spans="1:53" s="7" customFormat="1" ht="15">
      <c r="A79"/>
      <c r="B79" s="35" t="s">
        <v>38</v>
      </c>
      <c r="C79" s="36" t="s">
        <v>126</v>
      </c>
      <c r="D79" s="38" t="s">
        <v>119</v>
      </c>
      <c r="E79"/>
      <c r="F79" s="35" t="s">
        <v>38</v>
      </c>
      <c r="G79" s="36" t="s">
        <v>39</v>
      </c>
      <c r="H79" s="36">
        <v>550</v>
      </c>
      <c r="I79"/>
      <c r="J79" s="35" t="s">
        <v>38</v>
      </c>
      <c r="K79" s="36" t="s">
        <v>44</v>
      </c>
      <c r="L79" s="38" t="s">
        <v>45</v>
      </c>
      <c r="M79"/>
      <c r="N79" s="35" t="s">
        <v>38</v>
      </c>
      <c r="O79" s="36" t="s">
        <v>54</v>
      </c>
      <c r="P79" s="38" t="s">
        <v>224</v>
      </c>
      <c r="Q79"/>
      <c r="R79" s="35" t="s">
        <v>38</v>
      </c>
      <c r="S79" s="36" t="s">
        <v>54</v>
      </c>
      <c r="T79" s="38" t="s">
        <v>115</v>
      </c>
      <c r="U79"/>
      <c r="V79" s="35" t="s">
        <v>38</v>
      </c>
      <c r="W79" s="36" t="s">
        <v>54</v>
      </c>
      <c r="X79" s="38" t="s">
        <v>116</v>
      </c>
      <c r="Y79"/>
      <c r="Z79" s="35" t="s">
        <v>38</v>
      </c>
      <c r="AA79" s="36" t="s">
        <v>206</v>
      </c>
      <c r="AB79" s="38" t="s">
        <v>216</v>
      </c>
      <c r="AC79"/>
      <c r="AD79"/>
      <c r="AE79"/>
      <c r="AF79"/>
      <c r="AG79"/>
      <c r="AH79" s="35" t="s">
        <v>38</v>
      </c>
      <c r="AI79" s="36" t="s">
        <v>188</v>
      </c>
      <c r="AJ79" s="45">
        <v>400</v>
      </c>
      <c r="AK79"/>
      <c r="AL79" s="35" t="s">
        <v>38</v>
      </c>
      <c r="AM79" s="36" t="s">
        <v>126</v>
      </c>
      <c r="AN79" s="38" t="s">
        <v>119</v>
      </c>
      <c r="AO79"/>
      <c r="AP79" s="35" t="s">
        <v>38</v>
      </c>
      <c r="AQ79" s="36" t="s">
        <v>155</v>
      </c>
      <c r="AR79" s="36">
        <v>0</v>
      </c>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207</v>
      </c>
      <c r="AB80" s="38" t="s">
        <v>217</v>
      </c>
      <c r="AC80"/>
      <c r="AD80"/>
      <c r="AE80"/>
      <c r="AF80"/>
      <c r="AG80"/>
      <c r="AH80" s="35" t="s">
        <v>38</v>
      </c>
      <c r="AI80" s="36" t="s">
        <v>189</v>
      </c>
      <c r="AJ80" s="45">
        <v>100</v>
      </c>
      <c r="AK80"/>
      <c r="AL80" s="35" t="s">
        <v>38</v>
      </c>
      <c r="AM80" s="36" t="s">
        <v>127</v>
      </c>
      <c r="AN80" s="38" t="s">
        <v>120</v>
      </c>
      <c r="AO80"/>
      <c r="AP80" s="35" t="s">
        <v>38</v>
      </c>
      <c r="AQ80" s="36" t="s">
        <v>156</v>
      </c>
      <c r="AR80" s="36">
        <v>0</v>
      </c>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152</v>
      </c>
      <c r="Q81"/>
      <c r="R81" s="35" t="s">
        <v>38</v>
      </c>
      <c r="S81" s="36" t="s">
        <v>66</v>
      </c>
      <c r="T81" s="38" t="s">
        <v>152</v>
      </c>
      <c r="U81"/>
      <c r="V81" s="35" t="s">
        <v>38</v>
      </c>
      <c r="W81" s="36" t="s">
        <v>66</v>
      </c>
      <c r="X81" s="38" t="s">
        <v>152</v>
      </c>
      <c r="Y81"/>
      <c r="Z81" s="35" t="s">
        <v>38</v>
      </c>
      <c r="AA81" s="36" t="s">
        <v>208</v>
      </c>
      <c r="AB81" s="38" t="s">
        <v>218</v>
      </c>
      <c r="AC81"/>
      <c r="AD81"/>
      <c r="AE81"/>
      <c r="AF81"/>
      <c r="AG81"/>
      <c r="AH81" s="35" t="s">
        <v>38</v>
      </c>
      <c r="AI81" s="36" t="s">
        <v>190</v>
      </c>
      <c r="AJ81" s="45">
        <v>100</v>
      </c>
      <c r="AK81"/>
      <c r="AL81" s="35" t="s">
        <v>38</v>
      </c>
      <c r="AM81" s="36" t="s">
        <v>126</v>
      </c>
      <c r="AN81" s="38" t="s">
        <v>121</v>
      </c>
      <c r="AO81"/>
      <c r="AP81" s="35" t="s">
        <v>38</v>
      </c>
      <c r="AQ81" s="36" t="s">
        <v>157</v>
      </c>
      <c r="AR81" s="36">
        <v>0</v>
      </c>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64</v>
      </c>
      <c r="Q82"/>
      <c r="R82" s="35" t="s">
        <v>38</v>
      </c>
      <c r="S82" s="36" t="s">
        <v>57</v>
      </c>
      <c r="T82" s="38" t="s">
        <v>64</v>
      </c>
      <c r="U82"/>
      <c r="V82" s="35" t="s">
        <v>38</v>
      </c>
      <c r="W82" s="36" t="s">
        <v>57</v>
      </c>
      <c r="X82" s="38" t="s">
        <v>64</v>
      </c>
      <c r="Y82"/>
      <c r="Z82" s="35" t="s">
        <v>38</v>
      </c>
      <c r="AA82" s="36" t="s">
        <v>209</v>
      </c>
      <c r="AB82" s="38" t="s">
        <v>219</v>
      </c>
      <c r="AC82"/>
      <c r="AD82"/>
      <c r="AE82"/>
      <c r="AF82"/>
      <c r="AG82"/>
      <c r="AH82" s="35" t="s">
        <v>38</v>
      </c>
      <c r="AI82" s="36" t="s">
        <v>191</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51" t="s">
        <v>226</v>
      </c>
      <c r="Q83"/>
      <c r="R83" s="35" t="s">
        <v>38</v>
      </c>
      <c r="S83" s="36" t="s">
        <v>55</v>
      </c>
      <c r="T83" s="51" t="s">
        <v>226</v>
      </c>
      <c r="U83"/>
      <c r="V83" s="35" t="s">
        <v>38</v>
      </c>
      <c r="W83" s="36" t="s">
        <v>55</v>
      </c>
      <c r="X83" s="51" t="s">
        <v>227</v>
      </c>
      <c r="Y83"/>
      <c r="Z83" s="35" t="s">
        <v>38</v>
      </c>
      <c r="AA83" s="36" t="s">
        <v>210</v>
      </c>
      <c r="AB83" s="38" t="s">
        <v>220</v>
      </c>
      <c r="AC83"/>
      <c r="AD83"/>
      <c r="AE83"/>
      <c r="AF83"/>
      <c r="AG83"/>
      <c r="AH83" s="35" t="s">
        <v>38</v>
      </c>
      <c r="AI83" s="36" t="s">
        <v>192</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149</v>
      </c>
      <c r="Q84"/>
      <c r="R84" s="35" t="s">
        <v>38</v>
      </c>
      <c r="S84" s="36" t="s">
        <v>56</v>
      </c>
      <c r="T84" s="38" t="s">
        <v>149</v>
      </c>
      <c r="U84"/>
      <c r="V84" s="35" t="s">
        <v>38</v>
      </c>
      <c r="W84" s="36" t="s">
        <v>56</v>
      </c>
      <c r="X84" s="38" t="s">
        <v>149</v>
      </c>
      <c r="Y84"/>
      <c r="Z84" s="35" t="s">
        <v>38</v>
      </c>
      <c r="AA84" s="36" t="s">
        <v>211</v>
      </c>
      <c r="AB84" s="38" t="s">
        <v>221</v>
      </c>
      <c r="AC84"/>
      <c r="AD84"/>
      <c r="AE84"/>
      <c r="AF84"/>
      <c r="AG84"/>
      <c r="AH84" s="35" t="s">
        <v>38</v>
      </c>
      <c r="AI84" s="36" t="s">
        <v>193</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222</v>
      </c>
      <c r="Q85"/>
      <c r="R85" s="35" t="s">
        <v>38</v>
      </c>
      <c r="S85" s="36" t="s">
        <v>59</v>
      </c>
      <c r="T85" s="38" t="s">
        <v>222</v>
      </c>
      <c r="U85"/>
      <c r="V85" s="35" t="s">
        <v>38</v>
      </c>
      <c r="W85" s="36" t="s">
        <v>59</v>
      </c>
      <c r="X85" s="38" t="s">
        <v>222</v>
      </c>
      <c r="Y85"/>
      <c r="Z85" s="35" t="s">
        <v>38</v>
      </c>
      <c r="AA85" s="36" t="s">
        <v>212</v>
      </c>
      <c r="AB85" s="50">
        <f>AB80+AB86*AB82/1000</f>
        <v>224400</v>
      </c>
      <c r="AC85"/>
      <c r="AD85"/>
      <c r="AE85"/>
      <c r="AF85"/>
      <c r="AG85"/>
      <c r="AH85" s="35" t="s">
        <v>38</v>
      </c>
      <c r="AI85" s="36" t="s">
        <v>200</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223</v>
      </c>
      <c r="Q86"/>
      <c r="R86" s="35" t="s">
        <v>38</v>
      </c>
      <c r="S86" s="36" t="s">
        <v>60</v>
      </c>
      <c r="T86" s="38" t="s">
        <v>223</v>
      </c>
      <c r="U86"/>
      <c r="V86" s="35" t="s">
        <v>38</v>
      </c>
      <c r="W86" s="36" t="s">
        <v>60</v>
      </c>
      <c r="X86" s="38" t="s">
        <v>223</v>
      </c>
      <c r="Y86"/>
      <c r="Z86" s="41" t="s">
        <v>38</v>
      </c>
      <c r="AA86" s="42" t="s">
        <v>213</v>
      </c>
      <c r="AB86" s="50">
        <f>(AB79-AB80)*1000/(AB82-AB81)</f>
        <v>3400</v>
      </c>
      <c r="AC86"/>
      <c r="AD86"/>
      <c r="AE86"/>
      <c r="AF86"/>
      <c r="AG86"/>
      <c r="AH86" s="35" t="s">
        <v>38</v>
      </c>
      <c r="AI86" s="36" t="s">
        <v>201</v>
      </c>
      <c r="AJ86" s="45">
        <v>25500</v>
      </c>
      <c r="AK86"/>
      <c r="AL86" s="41" t="s">
        <v>38</v>
      </c>
      <c r="AM86" s="42" t="s">
        <v>128</v>
      </c>
      <c r="AN86" s="38" t="s">
        <v>199</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s="35" t="s">
        <v>38</v>
      </c>
      <c r="AA87" s="36" t="s">
        <v>214</v>
      </c>
      <c r="AB87" s="50">
        <f>AB84+AB88*AB82/1000</f>
        <v>152000</v>
      </c>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s="41" t="s">
        <v>38</v>
      </c>
      <c r="AA88" s="42" t="s">
        <v>215</v>
      </c>
      <c r="AB88" s="50">
        <f>(AB83-AB84)*1000/(AB82-AB81)</f>
        <v>2000</v>
      </c>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qref="AI5 AI12 AI19 AI33 AI26">
      <formula1>'[1]6752_coolers'!A2:A134</formula1>
    </dataValidation>
    <dataValidation type="decimal" allowBlank="1" showInputMessage="1" showErrorMessage="1" errorTitle="Invalid" error="Must between [-1, 65535]" promptTitle="Range" prompt="0 or between [100, 25500]" sqref="AJ79:AJ86">
      <formula1>0</formula1>
      <formula2>25500</formula2>
    </dataValidation>
    <dataValidation type="decimal" allowBlank="1" showInputMessage="1" showErrorMessage="1" sqref="AF78">
      <formula1>1</formula1>
      <formula2>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AB1 D1 H1 T1 X1 P1 L1 H77 X77 L77 P77 T77 D77 AF1 AN1 AR1 AV1 AZ1 AR77 AF77 AJ1 AJ77 AN77 AB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Y6:AY8 C6:C8 AY13:AY15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Y62:AY64 C34:C36 AU6:AU8 C13:C15 AA55:AA57 AA48:AA50 AA6:AA8 AA41:AA43 AA34:AA36 AI6:AI8 AA20:AA22 AA69:AA71 AA13:AA15 AA62:AA64 AM55:AM57 AM48:AM50 AM41:AM43 AM34:AM36 AM27:AM29 AM20:AM22 AM69:AM71 AM13:AM15 AM62:AM64 C48:C50 AQ55:AQ57 AQ48:AQ50 AQ41:AQ43 AQ34:AQ36 AQ27:AQ29 AQ20:AQ22 AQ69:AQ71 AQ13:AQ15 AQ62:AQ64 AM6:AM8 AU55:AU57 AU48:AU50 AU41:AU43 AU34:AU36 AU27:AU29 AU20:AU22 AU69:AU71 AU13:AU15 AU62:AU64 AQ6:AQ8 AY55:AY57 AY48:AY50 AY41:AY43 AY34:AY36 AY27:AY29 AY20:AY22 AY69:AY71 C20:C22 C27:C29 C41:C43 AI55:AI57 AI48:AI50 AI41:AI43 AA27:AA29 AI69:AI71 AI62:AI64 AI20:AI22 AI13:AI15 AI34:AI36 AI27:AI29">
      <formula1>"NULL, CPU0 loading(%), Wifi usage(Kb/s), EXIT, mtktscpu, mtktsabb, mtktspmic, mtktsbattery, mtktspa, mtktswmt, mtktsAP, mtktsbuck, mtktsbattery2, mtktsxtal"</formula1>
    </dataValidation>
    <dataValidation type="list" allowBlank="1" showInputMessage="1" showErrorMessage="1" sqref="AE1 C1 G1 K1 O1 S1 W1 AA1 AM1 AQ1 AU1 AY1 AI1">
      <formula1>'6595_tz'!A2:A97</formula1>
    </dataValidation>
    <dataValidation type="list" allowBlank="1" showInputMessage="1" sqref="AE61 AE54 AE47 AE40 AE33 AE26 AE19 C40 AE68 O5 C47 C5 AY12 AY68 C54 C61 C68 G12 G5 G19 G26 G33 G40 G47 G54 G61 G68 K12 K5 K19 K26 K33 K40 K47 K54 K61 K68 O12 AE5 O19 O26 O33 O40 O47 O54 O61 O68 S12 S5 S19 S26 S33 S40 S47 S54 S61 S68 W12 W5 W19 W26 W33 W40 W47 W54 W61 W68 AY5 C26 C12 AA68 AA61 AA54 AA47 AA40 AA33 AI68 AA19 AA12 AA5 AM61 AM54 AM47 AM40 AM33 AM26 AM19 AM12 AM68 AU5 AQ61 AQ54 AQ47 AQ40 AQ33 AQ26 AQ19 AQ12 AQ68 AM5 AU61 AU54 AU47 AU40 AU33 AU26 AU19 AU12 AU68 AQ5 AY61 AY54 AY47 AY40 AY33 AY26 AY19 C33 C19 AE12 AI61 AI54 AI47 AI40 AA26">
      <formula1>'6595_coolers'!A2:A136</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8"/>
  <dimension ref="A1:BA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183</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5</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46">
        <v>1</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8">
        <v>100000</v>
      </c>
      <c r="AJ3" s="49"/>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48" t="s">
        <v>196</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95000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74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144</v>
      </c>
      <c r="D20" s="14">
        <v>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90000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90</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144</v>
      </c>
      <c r="D27" s="14">
        <v>5000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85000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51</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144</v>
      </c>
      <c r="D34" s="14">
        <v>25000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37</v>
      </c>
      <c r="I77"/>
      <c r="J77" s="35" t="s">
        <v>5</v>
      </c>
      <c r="K77" s="36" t="s">
        <v>19</v>
      </c>
      <c r="L77" s="4" t="s">
        <v>37</v>
      </c>
      <c r="M77"/>
      <c r="N77" s="35" t="s">
        <v>5</v>
      </c>
      <c r="O77" s="36" t="s">
        <v>51</v>
      </c>
      <c r="P77" s="4" t="s">
        <v>36</v>
      </c>
      <c r="Q77"/>
      <c r="R77" s="35" t="s">
        <v>5</v>
      </c>
      <c r="S77" s="36" t="s">
        <v>52</v>
      </c>
      <c r="T77" s="4" t="s">
        <v>37</v>
      </c>
      <c r="U77"/>
      <c r="V77" s="35" t="s">
        <v>5</v>
      </c>
      <c r="W77" s="36" t="s">
        <v>53</v>
      </c>
      <c r="X77" s="4" t="s">
        <v>37</v>
      </c>
      <c r="Y77"/>
      <c r="Z77" s="35" t="s">
        <v>117</v>
      </c>
      <c r="AA77" s="36" t="s">
        <v>203</v>
      </c>
      <c r="AB77" s="4" t="s">
        <v>36</v>
      </c>
      <c r="AC77"/>
      <c r="AD77" s="35" t="s">
        <v>5</v>
      </c>
      <c r="AE77" s="36" t="s">
        <v>158</v>
      </c>
      <c r="AF77" s="4" t="s">
        <v>36</v>
      </c>
      <c r="AG77"/>
      <c r="AH77" s="35" t="s">
        <v>5</v>
      </c>
      <c r="AI77" s="36" t="s">
        <v>187</v>
      </c>
      <c r="AJ77" s="4" t="s">
        <v>37</v>
      </c>
      <c r="AK77"/>
      <c r="AL77" s="35" t="s">
        <v>117</v>
      </c>
      <c r="AM77" s="36" t="s">
        <v>183</v>
      </c>
      <c r="AN77" s="4" t="s">
        <v>36</v>
      </c>
      <c r="AO77"/>
      <c r="AP77" s="35" t="s">
        <v>5</v>
      </c>
      <c r="AQ77" s="36" t="s">
        <v>153</v>
      </c>
      <c r="AR77" s="4" t="s">
        <v>37</v>
      </c>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205</v>
      </c>
      <c r="AB78" s="38" t="s">
        <v>63</v>
      </c>
      <c r="AC78"/>
      <c r="AD78" s="35" t="s">
        <v>38</v>
      </c>
      <c r="AE78" s="36" t="s">
        <v>159</v>
      </c>
      <c r="AF78" s="36">
        <v>5</v>
      </c>
      <c r="AG78"/>
      <c r="AH78" s="35" t="s">
        <v>38</v>
      </c>
      <c r="AI78" s="36" t="s">
        <v>42</v>
      </c>
      <c r="AJ78" s="36">
        <v>0</v>
      </c>
      <c r="AK78"/>
      <c r="AL78" s="35" t="s">
        <v>38</v>
      </c>
      <c r="AM78" s="36" t="s">
        <v>127</v>
      </c>
      <c r="AN78" s="38" t="s">
        <v>118</v>
      </c>
      <c r="AO78"/>
      <c r="AP78" s="35" t="s">
        <v>38</v>
      </c>
      <c r="AQ78" s="36" t="s">
        <v>154</v>
      </c>
      <c r="AR78" s="36">
        <v>0</v>
      </c>
      <c r="AS78"/>
      <c r="AT78"/>
      <c r="AU78"/>
      <c r="AV78"/>
      <c r="AW78"/>
      <c r="AX78"/>
      <c r="AY78"/>
      <c r="AZ78"/>
      <c r="BA78"/>
    </row>
    <row r="79" spans="1:53" s="7" customFormat="1" ht="15">
      <c r="A79"/>
      <c r="B79" s="35" t="s">
        <v>38</v>
      </c>
      <c r="C79" s="36" t="s">
        <v>126</v>
      </c>
      <c r="D79" s="38" t="s">
        <v>119</v>
      </c>
      <c r="E79"/>
      <c r="F79" s="35" t="s">
        <v>38</v>
      </c>
      <c r="G79" s="36" t="s">
        <v>39</v>
      </c>
      <c r="H79" s="36">
        <v>-1</v>
      </c>
      <c r="I79"/>
      <c r="J79" s="35" t="s">
        <v>38</v>
      </c>
      <c r="K79" s="36" t="s">
        <v>44</v>
      </c>
      <c r="L79" s="38" t="s">
        <v>45</v>
      </c>
      <c r="M79"/>
      <c r="N79" s="35" t="s">
        <v>38</v>
      </c>
      <c r="O79" s="36" t="s">
        <v>54</v>
      </c>
      <c r="P79" s="38" t="s">
        <v>224</v>
      </c>
      <c r="Q79"/>
      <c r="R79" s="35" t="s">
        <v>38</v>
      </c>
      <c r="S79" s="36" t="s">
        <v>54</v>
      </c>
      <c r="T79" s="38" t="s">
        <v>115</v>
      </c>
      <c r="U79"/>
      <c r="V79" s="35" t="s">
        <v>38</v>
      </c>
      <c r="W79" s="36" t="s">
        <v>54</v>
      </c>
      <c r="X79" s="38" t="s">
        <v>116</v>
      </c>
      <c r="Y79"/>
      <c r="Z79" s="35" t="s">
        <v>38</v>
      </c>
      <c r="AA79" s="36" t="s">
        <v>206</v>
      </c>
      <c r="AB79" s="38" t="s">
        <v>216</v>
      </c>
      <c r="AC79"/>
      <c r="AD79"/>
      <c r="AE79"/>
      <c r="AF79"/>
      <c r="AG79"/>
      <c r="AH79" s="35" t="s">
        <v>38</v>
      </c>
      <c r="AI79" s="36" t="s">
        <v>188</v>
      </c>
      <c r="AJ79" s="45">
        <v>400</v>
      </c>
      <c r="AK79"/>
      <c r="AL79" s="35" t="s">
        <v>38</v>
      </c>
      <c r="AM79" s="36" t="s">
        <v>126</v>
      </c>
      <c r="AN79" s="38" t="s">
        <v>119</v>
      </c>
      <c r="AO79"/>
      <c r="AP79" s="35" t="s">
        <v>38</v>
      </c>
      <c r="AQ79" s="36" t="s">
        <v>155</v>
      </c>
      <c r="AR79" s="36">
        <v>0</v>
      </c>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207</v>
      </c>
      <c r="AB80" s="38" t="s">
        <v>217</v>
      </c>
      <c r="AC80"/>
      <c r="AD80"/>
      <c r="AE80"/>
      <c r="AF80"/>
      <c r="AG80"/>
      <c r="AH80" s="35" t="s">
        <v>38</v>
      </c>
      <c r="AI80" s="36" t="s">
        <v>189</v>
      </c>
      <c r="AJ80" s="45">
        <v>100</v>
      </c>
      <c r="AK80"/>
      <c r="AL80" s="35" t="s">
        <v>38</v>
      </c>
      <c r="AM80" s="36" t="s">
        <v>127</v>
      </c>
      <c r="AN80" s="38" t="s">
        <v>120</v>
      </c>
      <c r="AO80"/>
      <c r="AP80" s="35" t="s">
        <v>38</v>
      </c>
      <c r="AQ80" s="36" t="s">
        <v>156</v>
      </c>
      <c r="AR80" s="36">
        <v>0</v>
      </c>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152</v>
      </c>
      <c r="Q81"/>
      <c r="R81" s="35" t="s">
        <v>38</v>
      </c>
      <c r="S81" s="36" t="s">
        <v>66</v>
      </c>
      <c r="T81" s="38" t="s">
        <v>152</v>
      </c>
      <c r="U81"/>
      <c r="V81" s="35" t="s">
        <v>38</v>
      </c>
      <c r="W81" s="36" t="s">
        <v>66</v>
      </c>
      <c r="X81" s="38" t="s">
        <v>152</v>
      </c>
      <c r="Y81"/>
      <c r="Z81" s="35" t="s">
        <v>38</v>
      </c>
      <c r="AA81" s="36" t="s">
        <v>208</v>
      </c>
      <c r="AB81" s="38" t="s">
        <v>218</v>
      </c>
      <c r="AC81"/>
      <c r="AD81"/>
      <c r="AE81"/>
      <c r="AF81"/>
      <c r="AG81"/>
      <c r="AH81" s="35" t="s">
        <v>38</v>
      </c>
      <c r="AI81" s="36" t="s">
        <v>190</v>
      </c>
      <c r="AJ81" s="45">
        <v>100</v>
      </c>
      <c r="AK81"/>
      <c r="AL81" s="35" t="s">
        <v>38</v>
      </c>
      <c r="AM81" s="36" t="s">
        <v>126</v>
      </c>
      <c r="AN81" s="38" t="s">
        <v>121</v>
      </c>
      <c r="AO81"/>
      <c r="AP81" s="35" t="s">
        <v>38</v>
      </c>
      <c r="AQ81" s="36" t="s">
        <v>157</v>
      </c>
      <c r="AR81" s="36">
        <v>0</v>
      </c>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58</v>
      </c>
      <c r="Q82"/>
      <c r="R82" s="35" t="s">
        <v>38</v>
      </c>
      <c r="S82" s="36" t="s">
        <v>57</v>
      </c>
      <c r="T82" s="38" t="s">
        <v>58</v>
      </c>
      <c r="U82"/>
      <c r="V82" s="35" t="s">
        <v>38</v>
      </c>
      <c r="W82" s="36" t="s">
        <v>57</v>
      </c>
      <c r="X82" s="38" t="s">
        <v>58</v>
      </c>
      <c r="Y82"/>
      <c r="Z82" s="35" t="s">
        <v>38</v>
      </c>
      <c r="AA82" s="36" t="s">
        <v>209</v>
      </c>
      <c r="AB82" s="38" t="s">
        <v>219</v>
      </c>
      <c r="AC82"/>
      <c r="AD82"/>
      <c r="AE82"/>
      <c r="AF82"/>
      <c r="AG82"/>
      <c r="AH82" s="35" t="s">
        <v>38</v>
      </c>
      <c r="AI82" s="36" t="s">
        <v>191</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51" t="s">
        <v>226</v>
      </c>
      <c r="Q83"/>
      <c r="R83" s="35" t="s">
        <v>38</v>
      </c>
      <c r="S83" s="36" t="s">
        <v>55</v>
      </c>
      <c r="T83" s="38" t="s">
        <v>150</v>
      </c>
      <c r="U83"/>
      <c r="V83" s="35" t="s">
        <v>38</v>
      </c>
      <c r="W83" s="36" t="s">
        <v>55</v>
      </c>
      <c r="X83" s="38" t="s">
        <v>150</v>
      </c>
      <c r="Y83"/>
      <c r="Z83" s="35" t="s">
        <v>38</v>
      </c>
      <c r="AA83" s="36" t="s">
        <v>210</v>
      </c>
      <c r="AB83" s="38" t="s">
        <v>220</v>
      </c>
      <c r="AC83"/>
      <c r="AD83"/>
      <c r="AE83"/>
      <c r="AF83"/>
      <c r="AG83"/>
      <c r="AH83" s="35" t="s">
        <v>38</v>
      </c>
      <c r="AI83" s="36" t="s">
        <v>192</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149</v>
      </c>
      <c r="Q84"/>
      <c r="R84" s="35" t="s">
        <v>38</v>
      </c>
      <c r="S84" s="36" t="s">
        <v>56</v>
      </c>
      <c r="T84" s="38" t="s">
        <v>149</v>
      </c>
      <c r="U84"/>
      <c r="V84" s="35" t="s">
        <v>38</v>
      </c>
      <c r="W84" s="36" t="s">
        <v>56</v>
      </c>
      <c r="X84" s="38" t="s">
        <v>149</v>
      </c>
      <c r="Y84"/>
      <c r="Z84" s="35" t="s">
        <v>38</v>
      </c>
      <c r="AA84" s="36" t="s">
        <v>211</v>
      </c>
      <c r="AB84" s="38" t="s">
        <v>221</v>
      </c>
      <c r="AC84"/>
      <c r="AD84"/>
      <c r="AE84"/>
      <c r="AF84"/>
      <c r="AG84"/>
      <c r="AH84" s="35" t="s">
        <v>38</v>
      </c>
      <c r="AI84" s="36" t="s">
        <v>193</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222</v>
      </c>
      <c r="Q85"/>
      <c r="R85" s="35" t="s">
        <v>38</v>
      </c>
      <c r="S85" s="36" t="s">
        <v>59</v>
      </c>
      <c r="T85" s="38" t="s">
        <v>146</v>
      </c>
      <c r="U85"/>
      <c r="V85" s="35" t="s">
        <v>38</v>
      </c>
      <c r="W85" s="36" t="s">
        <v>59</v>
      </c>
      <c r="X85" s="38" t="s">
        <v>146</v>
      </c>
      <c r="Y85"/>
      <c r="Z85" s="35" t="s">
        <v>38</v>
      </c>
      <c r="AA85" s="36" t="s">
        <v>212</v>
      </c>
      <c r="AB85" s="50">
        <f>AB80+AB86*AB82/1000</f>
        <v>224400</v>
      </c>
      <c r="AC85"/>
      <c r="AD85"/>
      <c r="AE85"/>
      <c r="AF85"/>
      <c r="AG85"/>
      <c r="AH85" s="35" t="s">
        <v>38</v>
      </c>
      <c r="AI85" s="36" t="s">
        <v>200</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223</v>
      </c>
      <c r="Q86"/>
      <c r="R86" s="35" t="s">
        <v>38</v>
      </c>
      <c r="S86" s="36" t="s">
        <v>60</v>
      </c>
      <c r="T86" s="38" t="s">
        <v>145</v>
      </c>
      <c r="U86"/>
      <c r="V86" s="35" t="s">
        <v>38</v>
      </c>
      <c r="W86" s="36" t="s">
        <v>60</v>
      </c>
      <c r="X86" s="38" t="s">
        <v>145</v>
      </c>
      <c r="Y86"/>
      <c r="Z86" s="41" t="s">
        <v>38</v>
      </c>
      <c r="AA86" s="42" t="s">
        <v>213</v>
      </c>
      <c r="AB86" s="50">
        <f>(AB79-AB80)*1000/(AB82-AB81)</f>
        <v>3400</v>
      </c>
      <c r="AC86"/>
      <c r="AD86"/>
      <c r="AE86"/>
      <c r="AF86"/>
      <c r="AG86"/>
      <c r="AH86" s="35" t="s">
        <v>38</v>
      </c>
      <c r="AI86" s="36" t="s">
        <v>201</v>
      </c>
      <c r="AJ86" s="45">
        <v>25500</v>
      </c>
      <c r="AK86"/>
      <c r="AL86" s="41" t="s">
        <v>38</v>
      </c>
      <c r="AM86" s="42" t="s">
        <v>128</v>
      </c>
      <c r="AN86" s="38" t="s">
        <v>199</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s="35" t="s">
        <v>38</v>
      </c>
      <c r="AA87" s="36" t="s">
        <v>214</v>
      </c>
      <c r="AB87" s="50">
        <f>AB84+AB88*AB82/1000</f>
        <v>152000</v>
      </c>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s="41" t="s">
        <v>38</v>
      </c>
      <c r="AA88" s="42" t="s">
        <v>215</v>
      </c>
      <c r="AB88" s="50">
        <f>(AB83-AB84)*1000/(AB82-AB81)</f>
        <v>2000</v>
      </c>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AB1 D1 H1 T1 X1 P1 L1 H77 AV1 L77 AR1 AZ1 D77 AF1 AN1 X77 P77 T77 AB77 AF77 AJ1 AJ77 AN77 AR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Y6:AY8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M55:AM57 AM48:AM50 AM41:AM43 AM34:AM36 AM27:AM29 AM20:AM22 AM69:AM71 AM13:AM15 AM62:AM64 AM6:AM8 AQ55:AQ57 AQ48:AQ50 AQ41:AQ43 AQ34:AQ36 AQ27:AQ29 AQ20:AQ22 AQ69:AQ71 AQ13:AQ15 AQ62:AQ64 AQ6:AQ8 AU55:AU57 AU48:AU50 AU41:AU43 AU34:AU36 AU27:AU29 AU20:AU22 AU69:AU71 AU13:AU15 AU62:AU64 AU6:AU8 AY55:AY57 AY48:AY50 AY41:AY43 AY34:AY36 AY27:AY29 AY20:AY22 AY69:AY71 AY13:AY15 AY62:AY64 C34:C36 AI55:AI57 AI48:AI50 AI41:AI43 AI34:AI36 AI27:AI29 AI62:AI64 AI69:AI71 AI13:AI15 AI6:AI8 AI20:AI22">
      <formula1>"NULL, CPU0 loading(%), Wifi usage(Kb/s), EXIT, mtktscpu, mtktsabb, mtktspmic, mtktsbattery, mtktspa, mtktswmt, mtktsAP, mtktsbuck, mtktsbattery2, mtktsxtal"</formula1>
    </dataValidation>
    <dataValidation type="list" allowBlank="1" showInputMessage="1" showErrorMessage="1" sqref="AE1 C1 G1 K1 O1 S1 W1 AA1 AM1 AQ1 AU1 AY1 AI1">
      <formula1>'6595_tz'!A2:A97</formula1>
    </dataValidation>
    <dataValidation type="list" allowBlank="1" showInputMessage="1" sqref="AE61 AE54 AE47 AE40 AE33 AE26 AE19 AE12 AE68 AE5 C19 C5 AY5 C47 C54 C61 C68 G12 G5 G19 G26 G33 G40 G47 G54 G61 G68 K12 K5 K19 K26 K33 K40 K47 K54 K61 K68 O12 O5 O19 O26 O33 O40 O47 O54 O61 O68 S12 S5 S19 S26 S33 S40 S47 S54 S61 S68 W12 W5 W19 W26 W33 W40 W47 W54 W61 W68 C40 C26 C12 AA68 AA61 AA54 AA47 AA40 AA33 AA26 AA19 AA12 AA5 AM61 AM54 AM47 AM40 AM33 AM26 AM19 AM12 AM68 AM5 AQ61 AQ54 AQ47 AQ40 AQ33 AQ26 AQ19 AQ12 AQ68 AQ5 AU61 AU54 AU47 AU40 AU33 AU26 AU19 AU12 AU68 AU5 AY61 AY54 AY47 AY40 AY33 AY26 AY19 AY12 AY68 C33 AI61 AI54 AI47 AI40 AI33 AI26 AI68 AI12 AI19">
      <formula1>'6595_coolers'!A2:A136</formula1>
    </dataValidation>
    <dataValidation type="decimal" allowBlank="1" showInputMessage="1" showErrorMessage="1" sqref="AF78">
      <formula1>1</formula1>
      <formula2>5</formula2>
    </dataValidation>
    <dataValidation type="list" allowBlank="1" showInputMessage="1" sqref="AI5">
      <formula1>'[1]6752_coolers'!A2:A134</formula1>
    </dataValidation>
    <dataValidation type="decimal" allowBlank="1" showInputMessage="1" showErrorMessage="1" errorTitle="Invalid" error="Must between [-1, 65535]" promptTitle="Range" prompt="0 or between [100, 25500]" sqref="AJ79:AJ86">
      <formula1>0</formula1>
      <formula2>25500</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9"/>
  <dimension ref="A1:BA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183</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46">
        <v>1</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48">
        <v>120000</v>
      </c>
      <c r="AJ3" s="49"/>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48" t="s">
        <v>196</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37</v>
      </c>
      <c r="I77"/>
      <c r="J77" s="35" t="s">
        <v>5</v>
      </c>
      <c r="K77" s="36" t="s">
        <v>19</v>
      </c>
      <c r="L77" s="4" t="s">
        <v>37</v>
      </c>
      <c r="M77"/>
      <c r="N77" s="35" t="s">
        <v>5</v>
      </c>
      <c r="O77" s="36" t="s">
        <v>51</v>
      </c>
      <c r="P77" s="4" t="s">
        <v>37</v>
      </c>
      <c r="Q77"/>
      <c r="R77" s="35" t="s">
        <v>5</v>
      </c>
      <c r="S77" s="36" t="s">
        <v>52</v>
      </c>
      <c r="T77" s="4" t="s">
        <v>37</v>
      </c>
      <c r="U77"/>
      <c r="V77" s="35" t="s">
        <v>5</v>
      </c>
      <c r="W77" s="36" t="s">
        <v>53</v>
      </c>
      <c r="X77" s="4" t="s">
        <v>37</v>
      </c>
      <c r="Y77"/>
      <c r="Z77" s="35" t="s">
        <v>117</v>
      </c>
      <c r="AA77" s="36" t="s">
        <v>203</v>
      </c>
      <c r="AB77" s="4" t="s">
        <v>36</v>
      </c>
      <c r="AC77"/>
      <c r="AD77" s="35" t="s">
        <v>5</v>
      </c>
      <c r="AE77" s="36" t="s">
        <v>158</v>
      </c>
      <c r="AF77" s="4" t="s">
        <v>36</v>
      </c>
      <c r="AG77"/>
      <c r="AH77" s="35" t="s">
        <v>5</v>
      </c>
      <c r="AI77" s="36" t="s">
        <v>187</v>
      </c>
      <c r="AJ77" s="4" t="s">
        <v>37</v>
      </c>
      <c r="AK77"/>
      <c r="AL77" s="35" t="s">
        <v>117</v>
      </c>
      <c r="AM77" s="36" t="s">
        <v>183</v>
      </c>
      <c r="AN77" s="4" t="s">
        <v>36</v>
      </c>
      <c r="AO77"/>
      <c r="AP77" s="35" t="s">
        <v>5</v>
      </c>
      <c r="AQ77" s="36" t="s">
        <v>153</v>
      </c>
      <c r="AR77" s="4" t="s">
        <v>37</v>
      </c>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205</v>
      </c>
      <c r="AB78" s="38" t="s">
        <v>63</v>
      </c>
      <c r="AC78"/>
      <c r="AD78" s="35" t="s">
        <v>38</v>
      </c>
      <c r="AE78" s="36" t="s">
        <v>159</v>
      </c>
      <c r="AF78" s="36">
        <v>1</v>
      </c>
      <c r="AG78"/>
      <c r="AH78" s="35" t="s">
        <v>38</v>
      </c>
      <c r="AI78" s="36" t="s">
        <v>42</v>
      </c>
      <c r="AJ78" s="36">
        <v>0</v>
      </c>
      <c r="AK78"/>
      <c r="AL78" s="35" t="s">
        <v>38</v>
      </c>
      <c r="AM78" s="36" t="s">
        <v>127</v>
      </c>
      <c r="AN78" s="38" t="s">
        <v>118</v>
      </c>
      <c r="AO78"/>
      <c r="AP78" s="35" t="s">
        <v>38</v>
      </c>
      <c r="AQ78" s="36" t="s">
        <v>154</v>
      </c>
      <c r="AR78" s="36">
        <v>0</v>
      </c>
      <c r="AS78"/>
      <c r="AT78"/>
      <c r="AU78"/>
      <c r="AV78"/>
      <c r="AW78"/>
      <c r="AX78"/>
      <c r="AY78"/>
      <c r="AZ78"/>
      <c r="BA78"/>
    </row>
    <row r="79" spans="1:53" s="7" customFormat="1" ht="15">
      <c r="A79"/>
      <c r="B79" s="35" t="s">
        <v>38</v>
      </c>
      <c r="C79" s="36" t="s">
        <v>126</v>
      </c>
      <c r="D79" s="38" t="s">
        <v>119</v>
      </c>
      <c r="E79"/>
      <c r="F79" s="35" t="s">
        <v>38</v>
      </c>
      <c r="G79" s="36" t="s">
        <v>39</v>
      </c>
      <c r="H79" s="36">
        <v>-1</v>
      </c>
      <c r="I79"/>
      <c r="J79" s="35" t="s">
        <v>38</v>
      </c>
      <c r="K79" s="36" t="s">
        <v>44</v>
      </c>
      <c r="L79" s="38" t="s">
        <v>45</v>
      </c>
      <c r="M79"/>
      <c r="N79" s="35" t="s">
        <v>38</v>
      </c>
      <c r="O79" s="36" t="s">
        <v>54</v>
      </c>
      <c r="P79" s="38" t="s">
        <v>149</v>
      </c>
      <c r="Q79"/>
      <c r="R79" s="35" t="s">
        <v>38</v>
      </c>
      <c r="S79" s="36" t="s">
        <v>54</v>
      </c>
      <c r="T79" s="38" t="s">
        <v>115</v>
      </c>
      <c r="U79"/>
      <c r="V79" s="35" t="s">
        <v>38</v>
      </c>
      <c r="W79" s="36" t="s">
        <v>54</v>
      </c>
      <c r="X79" s="38" t="s">
        <v>116</v>
      </c>
      <c r="Y79"/>
      <c r="Z79" s="35" t="s">
        <v>38</v>
      </c>
      <c r="AA79" s="36" t="s">
        <v>206</v>
      </c>
      <c r="AB79" s="38" t="s">
        <v>216</v>
      </c>
      <c r="AC79"/>
      <c r="AD79"/>
      <c r="AE79"/>
      <c r="AF79"/>
      <c r="AG79"/>
      <c r="AH79" s="35" t="s">
        <v>38</v>
      </c>
      <c r="AI79" s="36" t="s">
        <v>188</v>
      </c>
      <c r="AJ79" s="45">
        <v>400</v>
      </c>
      <c r="AK79"/>
      <c r="AL79" s="35" t="s">
        <v>38</v>
      </c>
      <c r="AM79" s="36" t="s">
        <v>126</v>
      </c>
      <c r="AN79" s="38" t="s">
        <v>119</v>
      </c>
      <c r="AO79"/>
      <c r="AP79" s="35" t="s">
        <v>38</v>
      </c>
      <c r="AQ79" s="36" t="s">
        <v>155</v>
      </c>
      <c r="AR79" s="36">
        <v>0</v>
      </c>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207</v>
      </c>
      <c r="AB80" s="38" t="s">
        <v>217</v>
      </c>
      <c r="AC80"/>
      <c r="AD80"/>
      <c r="AE80"/>
      <c r="AF80"/>
      <c r="AG80"/>
      <c r="AH80" s="35" t="s">
        <v>38</v>
      </c>
      <c r="AI80" s="36" t="s">
        <v>189</v>
      </c>
      <c r="AJ80" s="45">
        <v>100</v>
      </c>
      <c r="AK80"/>
      <c r="AL80" s="35" t="s">
        <v>38</v>
      </c>
      <c r="AM80" s="36" t="s">
        <v>127</v>
      </c>
      <c r="AN80" s="38" t="s">
        <v>120</v>
      </c>
      <c r="AO80"/>
      <c r="AP80" s="35" t="s">
        <v>38</v>
      </c>
      <c r="AQ80" s="36" t="s">
        <v>156</v>
      </c>
      <c r="AR80" s="36">
        <v>0</v>
      </c>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152</v>
      </c>
      <c r="Q81"/>
      <c r="R81" s="35" t="s">
        <v>38</v>
      </c>
      <c r="S81" s="36" t="s">
        <v>66</v>
      </c>
      <c r="T81" s="38" t="s">
        <v>152</v>
      </c>
      <c r="U81"/>
      <c r="V81" s="35" t="s">
        <v>38</v>
      </c>
      <c r="W81" s="36" t="s">
        <v>66</v>
      </c>
      <c r="X81" s="38" t="s">
        <v>152</v>
      </c>
      <c r="Y81"/>
      <c r="Z81" s="35" t="s">
        <v>38</v>
      </c>
      <c r="AA81" s="36" t="s">
        <v>208</v>
      </c>
      <c r="AB81" s="38" t="s">
        <v>218</v>
      </c>
      <c r="AC81"/>
      <c r="AD81"/>
      <c r="AE81"/>
      <c r="AF81"/>
      <c r="AG81"/>
      <c r="AH81" s="35" t="s">
        <v>38</v>
      </c>
      <c r="AI81" s="36" t="s">
        <v>190</v>
      </c>
      <c r="AJ81" s="45">
        <v>100</v>
      </c>
      <c r="AK81"/>
      <c r="AL81" s="35" t="s">
        <v>38</v>
      </c>
      <c r="AM81" s="36" t="s">
        <v>126</v>
      </c>
      <c r="AN81" s="38" t="s">
        <v>121</v>
      </c>
      <c r="AO81"/>
      <c r="AP81" s="35" t="s">
        <v>38</v>
      </c>
      <c r="AQ81" s="36" t="s">
        <v>157</v>
      </c>
      <c r="AR81" s="36">
        <v>0</v>
      </c>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58</v>
      </c>
      <c r="Q82"/>
      <c r="R82" s="35" t="s">
        <v>38</v>
      </c>
      <c r="S82" s="36" t="s">
        <v>57</v>
      </c>
      <c r="T82" s="38" t="s">
        <v>58</v>
      </c>
      <c r="U82"/>
      <c r="V82" s="35" t="s">
        <v>38</v>
      </c>
      <c r="W82" s="36" t="s">
        <v>57</v>
      </c>
      <c r="X82" s="38" t="s">
        <v>58</v>
      </c>
      <c r="Y82"/>
      <c r="Z82" s="35" t="s">
        <v>38</v>
      </c>
      <c r="AA82" s="36" t="s">
        <v>209</v>
      </c>
      <c r="AB82" s="38" t="s">
        <v>219</v>
      </c>
      <c r="AC82"/>
      <c r="AD82"/>
      <c r="AE82"/>
      <c r="AF82"/>
      <c r="AG82"/>
      <c r="AH82" s="35" t="s">
        <v>38</v>
      </c>
      <c r="AI82" s="36" t="s">
        <v>191</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38" t="s">
        <v>150</v>
      </c>
      <c r="Q83"/>
      <c r="R83" s="35" t="s">
        <v>38</v>
      </c>
      <c r="S83" s="36" t="s">
        <v>55</v>
      </c>
      <c r="T83" s="38" t="s">
        <v>150</v>
      </c>
      <c r="U83"/>
      <c r="V83" s="35" t="s">
        <v>38</v>
      </c>
      <c r="W83" s="36" t="s">
        <v>55</v>
      </c>
      <c r="X83" s="38" t="s">
        <v>150</v>
      </c>
      <c r="Y83"/>
      <c r="Z83" s="35" t="s">
        <v>38</v>
      </c>
      <c r="AA83" s="36" t="s">
        <v>210</v>
      </c>
      <c r="AB83" s="38" t="s">
        <v>220</v>
      </c>
      <c r="AC83"/>
      <c r="AD83"/>
      <c r="AE83"/>
      <c r="AF83"/>
      <c r="AG83"/>
      <c r="AH83" s="35" t="s">
        <v>38</v>
      </c>
      <c r="AI83" s="36" t="s">
        <v>192</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149</v>
      </c>
      <c r="Q84"/>
      <c r="R84" s="35" t="s">
        <v>38</v>
      </c>
      <c r="S84" s="36" t="s">
        <v>56</v>
      </c>
      <c r="T84" s="38" t="s">
        <v>149</v>
      </c>
      <c r="U84"/>
      <c r="V84" s="35" t="s">
        <v>38</v>
      </c>
      <c r="W84" s="36" t="s">
        <v>56</v>
      </c>
      <c r="X84" s="38" t="s">
        <v>149</v>
      </c>
      <c r="Y84"/>
      <c r="Z84" s="35" t="s">
        <v>38</v>
      </c>
      <c r="AA84" s="36" t="s">
        <v>211</v>
      </c>
      <c r="AB84" s="38" t="s">
        <v>221</v>
      </c>
      <c r="AC84"/>
      <c r="AD84"/>
      <c r="AE84"/>
      <c r="AF84"/>
      <c r="AG84"/>
      <c r="AH84" s="35" t="s">
        <v>38</v>
      </c>
      <c r="AI84" s="36" t="s">
        <v>193</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146</v>
      </c>
      <c r="Q85"/>
      <c r="R85" s="35" t="s">
        <v>38</v>
      </c>
      <c r="S85" s="36" t="s">
        <v>59</v>
      </c>
      <c r="T85" s="38" t="s">
        <v>146</v>
      </c>
      <c r="U85"/>
      <c r="V85" s="35" t="s">
        <v>38</v>
      </c>
      <c r="W85" s="36" t="s">
        <v>59</v>
      </c>
      <c r="X85" s="38" t="s">
        <v>146</v>
      </c>
      <c r="Y85"/>
      <c r="Z85" s="35" t="s">
        <v>38</v>
      </c>
      <c r="AA85" s="36" t="s">
        <v>212</v>
      </c>
      <c r="AB85" s="50">
        <f>AB80+AB86*AB82/1000</f>
        <v>224400</v>
      </c>
      <c r="AC85"/>
      <c r="AD85"/>
      <c r="AE85"/>
      <c r="AF85"/>
      <c r="AG85"/>
      <c r="AH85" s="35" t="s">
        <v>38</v>
      </c>
      <c r="AI85" s="36" t="s">
        <v>200</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145</v>
      </c>
      <c r="Q86"/>
      <c r="R86" s="35" t="s">
        <v>38</v>
      </c>
      <c r="S86" s="36" t="s">
        <v>60</v>
      </c>
      <c r="T86" s="38" t="s">
        <v>145</v>
      </c>
      <c r="U86"/>
      <c r="V86" s="35" t="s">
        <v>38</v>
      </c>
      <c r="W86" s="36" t="s">
        <v>60</v>
      </c>
      <c r="X86" s="38" t="s">
        <v>145</v>
      </c>
      <c r="Y86"/>
      <c r="Z86" s="41" t="s">
        <v>38</v>
      </c>
      <c r="AA86" s="42" t="s">
        <v>213</v>
      </c>
      <c r="AB86" s="50">
        <f>(AB79-AB80)*1000/(AB82-AB81)</f>
        <v>3400</v>
      </c>
      <c r="AC86"/>
      <c r="AD86"/>
      <c r="AE86"/>
      <c r="AF86"/>
      <c r="AG86"/>
      <c r="AH86" s="35" t="s">
        <v>38</v>
      </c>
      <c r="AI86" s="36" t="s">
        <v>201</v>
      </c>
      <c r="AJ86" s="45">
        <v>25500</v>
      </c>
      <c r="AK86"/>
      <c r="AL86" s="41" t="s">
        <v>38</v>
      </c>
      <c r="AM86" s="42" t="s">
        <v>128</v>
      </c>
      <c r="AN86" s="38" t="s">
        <v>199</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s="35" t="s">
        <v>38</v>
      </c>
      <c r="AA87" s="36" t="s">
        <v>214</v>
      </c>
      <c r="AB87" s="50">
        <f>AB84+AB88*AB82/1000</f>
        <v>152000</v>
      </c>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s="41" t="s">
        <v>38</v>
      </c>
      <c r="AA88" s="42" t="s">
        <v>215</v>
      </c>
      <c r="AB88" s="50">
        <f>(AB83-AB84)*1000/(AB82-AB81)</f>
        <v>2000</v>
      </c>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disablePrompts="1" count="9">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AM61 AM54 AM47 AM40 AM33 AM26 AM19 AM12 AM68 AM5 AQ61 AQ54 AQ47 AQ40 AQ33 AQ26 AQ19 AQ12 AQ68 AQ5 AU61 AU54 AU47 AU40 AU33 AU26 AU19 AU12 AU68 AU5 AY61 AY54 AY47 AY40 AY33 AY26 AY19 AY12 AY68 AY5 AI61 AI54 AI47 AI40 AI33 AI26 AI68 AI12 AI19">
      <formula1>'6595_coolers'!A2:A136</formula1>
    </dataValidation>
    <dataValidation type="list" allowBlank="1" showInputMessage="1" showErrorMessage="1" sqref="AE1 C1 G1 K1 O1 S1 W1 AA1 AM1 AQ1 AU1 AY1 AI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M55:AM57 AM48:AM50 AM41:AM43 AM34:AM36 AM27:AM29 AM20:AM22 AM69:AM71 AM13:AM15 AM62:AM64 AM6:AM8 AQ55:AQ57 AQ48:AQ50 AQ41:AQ43 AQ34:AQ36 AQ27:AQ29 AQ20:AQ22 AQ69:AQ71 AQ13:AQ15 AQ62:AQ64 AQ6:AQ8 AU55:AU57 AU48:AU50 AU41:AU43 AU34:AU36 AU27:AU29 AU20:AU22 AU69:AU71 AU13:AU15 AU62:AU64 AU6:AU8 AY55:AY57 AY48:AY50 AY41:AY43 AY34:AY36 AY27:AY29 AY20:AY22 AY69:AY71 AY13:AY15 AY62:AY64 AY6:AY8 AI55:AI57 AI48:AI50 AI41:AI43 AI34:AI36 AI27:AI29 AI62:AI64 AI69:AI71 AI13:AI15 AI6:AI8 AI20:AI22">
      <formula1>"NULL, CPU0 loading(%), Wifi usage(Kb/s), EXIT, mtktscpu, mtktsabb, mtktspmic, mtktsbattery, mtktspa, mtktswmt, mtktsAP, mtktsbuck, mtktsbattery2, mtktsxtal"</formula1>
    </dataValidation>
    <dataValidation type="list" allowBlank="1" showInputMessage="1" showErrorMessage="1" sqref="AB1 D1 H1 T1 X1 P1 L1 H77 AR1 L77 AV1 AZ1 D77 AF1 AN1 X77 P77 T77 AB77 AF77 AJ1 AJ77 AN77 AR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 type="list" allowBlank="1" showInputMessage="1" sqref="AI5">
      <formula1>'[1]6752_coolers'!A2:A134</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68"/>
  <sheetViews>
    <sheetView topLeftCell="A40" workbookViewId="0"/>
  </sheetViews>
  <sheetFormatPr defaultRowHeight="1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32</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177</v>
      </c>
    </row>
    <row r="53" spans="1:3">
      <c r="A53" s="39" t="s">
        <v>112</v>
      </c>
      <c r="B53" t="s">
        <v>177</v>
      </c>
    </row>
    <row r="54" spans="1:3">
      <c r="A54" s="39" t="s">
        <v>113</v>
      </c>
      <c r="B54" t="s">
        <v>177</v>
      </c>
    </row>
    <row r="55" spans="1:3">
      <c r="A55" s="39" t="s">
        <v>19</v>
      </c>
      <c r="B55" t="s">
        <v>178</v>
      </c>
    </row>
    <row r="56" spans="1:3">
      <c r="A56" s="40" t="s">
        <v>114</v>
      </c>
      <c r="B56" s="37" t="s">
        <v>178</v>
      </c>
      <c r="C56" s="37"/>
    </row>
    <row r="57" spans="1:3">
      <c r="A57" s="39" t="s">
        <v>51</v>
      </c>
      <c r="B57" t="s">
        <v>179</v>
      </c>
      <c r="C57" s="37"/>
    </row>
    <row r="58" spans="1:3">
      <c r="A58" s="39" t="s">
        <v>52</v>
      </c>
      <c r="B58" t="s">
        <v>179</v>
      </c>
      <c r="C58" s="37"/>
    </row>
    <row r="59" spans="1:3">
      <c r="A59" s="39" t="s">
        <v>53</v>
      </c>
      <c r="B59" t="s">
        <v>179</v>
      </c>
      <c r="C59" s="37"/>
    </row>
    <row r="60" spans="1:3">
      <c r="A60" s="39" t="s">
        <v>68</v>
      </c>
      <c r="B60" t="s">
        <v>180</v>
      </c>
      <c r="C60" s="37"/>
    </row>
    <row r="61" spans="1:3">
      <c r="A61" s="40" t="s">
        <v>153</v>
      </c>
      <c r="B61" s="37" t="s">
        <v>181</v>
      </c>
      <c r="C61" s="37"/>
    </row>
    <row r="62" spans="1:3">
      <c r="A62" s="39" t="s">
        <v>158</v>
      </c>
      <c r="B62" t="s">
        <v>182</v>
      </c>
      <c r="C62" s="37"/>
    </row>
    <row r="63" spans="1:3">
      <c r="A63" s="39" t="s">
        <v>187</v>
      </c>
      <c r="B63" t="s">
        <v>197</v>
      </c>
      <c r="C63" s="37"/>
    </row>
    <row r="64" spans="1:3">
      <c r="A64" s="39" t="s">
        <v>195</v>
      </c>
      <c r="B64" t="s">
        <v>197</v>
      </c>
      <c r="C64" s="37"/>
    </row>
    <row r="65" spans="1:3">
      <c r="A65" s="40" t="s">
        <v>194</v>
      </c>
      <c r="B65" s="37" t="s">
        <v>197</v>
      </c>
      <c r="C65" s="37"/>
    </row>
    <row r="66" spans="1:3">
      <c r="A66" s="40" t="s">
        <v>202</v>
      </c>
      <c r="B66" s="37" t="s">
        <v>197</v>
      </c>
      <c r="C66" s="37"/>
    </row>
    <row r="67" spans="1:3">
      <c r="A67" s="40" t="s">
        <v>203</v>
      </c>
      <c r="B67" s="37" t="s">
        <v>204</v>
      </c>
      <c r="C67" s="37"/>
    </row>
    <row r="68" spans="1:3">
      <c r="A68" s="40" t="s">
        <v>183</v>
      </c>
      <c r="B68" s="37" t="s">
        <v>198</v>
      </c>
      <c r="C68" s="3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5"/>
  <sheetViews>
    <sheetView workbookViewId="0"/>
  </sheetViews>
  <sheetFormatPr defaultRowHeight="15"/>
  <cols>
    <col min="1" max="3" width="40.7109375" customWidth="1"/>
  </cols>
  <sheetData>
    <row r="1" spans="1:3">
      <c r="A1" t="s">
        <v>30</v>
      </c>
      <c r="B1" t="s">
        <v>31</v>
      </c>
      <c r="C1" t="s">
        <v>28</v>
      </c>
    </row>
    <row r="2" spans="1:3">
      <c r="A2" t="s">
        <v>23</v>
      </c>
      <c r="B2" t="s">
        <v>164</v>
      </c>
      <c r="C2" t="s">
        <v>142</v>
      </c>
    </row>
    <row r="3" spans="1:3">
      <c r="A3" t="s">
        <v>34</v>
      </c>
      <c r="B3" t="s">
        <v>165</v>
      </c>
      <c r="C3" t="s">
        <v>141</v>
      </c>
    </row>
    <row r="4" spans="1:3">
      <c r="A4" t="s">
        <v>24</v>
      </c>
      <c r="B4" t="s">
        <v>166</v>
      </c>
      <c r="C4" t="s">
        <v>132</v>
      </c>
    </row>
    <row r="5" spans="1:3">
      <c r="A5" t="s">
        <v>25</v>
      </c>
      <c r="B5" t="s">
        <v>167</v>
      </c>
      <c r="C5" t="s">
        <v>29</v>
      </c>
    </row>
    <row r="6" spans="1:3">
      <c r="A6" t="s">
        <v>26</v>
      </c>
      <c r="B6" t="s">
        <v>168</v>
      </c>
      <c r="C6" t="s">
        <v>129</v>
      </c>
    </row>
    <row r="7" spans="1:3">
      <c r="A7" t="s">
        <v>27</v>
      </c>
      <c r="B7" t="s">
        <v>169</v>
      </c>
      <c r="C7" t="s">
        <v>130</v>
      </c>
    </row>
    <row r="8" spans="1:3">
      <c r="A8" s="37" t="s">
        <v>68</v>
      </c>
      <c r="B8" s="37" t="s">
        <v>170</v>
      </c>
      <c r="C8" s="37" t="s">
        <v>143</v>
      </c>
    </row>
    <row r="9" spans="1:3">
      <c r="A9" t="s">
        <v>69</v>
      </c>
      <c r="B9" t="s">
        <v>171</v>
      </c>
      <c r="C9" t="s">
        <v>131</v>
      </c>
    </row>
    <row r="10" spans="1:3">
      <c r="A10" t="s">
        <v>133</v>
      </c>
      <c r="B10" t="s">
        <v>172</v>
      </c>
      <c r="C10" t="s">
        <v>137</v>
      </c>
    </row>
    <row r="11" spans="1:3">
      <c r="A11" t="s">
        <v>134</v>
      </c>
      <c r="B11" t="s">
        <v>173</v>
      </c>
      <c r="C11" t="s">
        <v>138</v>
      </c>
    </row>
    <row r="12" spans="1:3">
      <c r="A12" t="s">
        <v>135</v>
      </c>
      <c r="B12" t="s">
        <v>174</v>
      </c>
      <c r="C12" t="s">
        <v>139</v>
      </c>
    </row>
    <row r="13" spans="1:3">
      <c r="A13" t="s">
        <v>136</v>
      </c>
      <c r="B13" t="s">
        <v>175</v>
      </c>
      <c r="C13" t="s">
        <v>140</v>
      </c>
    </row>
    <row r="14" spans="1:3">
      <c r="A14" t="s">
        <v>147</v>
      </c>
      <c r="B14" t="s">
        <v>176</v>
      </c>
      <c r="C14" t="s">
        <v>148</v>
      </c>
    </row>
    <row r="15" spans="1:3">
      <c r="A15" s="37" t="s">
        <v>183</v>
      </c>
      <c r="B15" s="37" t="s">
        <v>184</v>
      </c>
      <c r="C15" s="37" t="s">
        <v>185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sheetPr codeName="Sheet2"/>
  <dimension ref="A1:B4"/>
  <sheetViews>
    <sheetView workbookViewId="0"/>
  </sheetViews>
  <sheetFormatPr defaultRowHeight="15"/>
  <cols>
    <col min="1" max="1" width="14.85546875" bestFit="1" customWidth="1"/>
    <col min="2" max="2" width="70.42578125" customWidth="1"/>
  </cols>
  <sheetData>
    <row r="1" spans="1:2">
      <c r="A1" t="s">
        <v>160</v>
      </c>
      <c r="B1" t="s">
        <v>161</v>
      </c>
    </row>
    <row r="2" spans="1:2" ht="30">
      <c r="A2" s="43">
        <v>41920.395833333336</v>
      </c>
      <c r="B2" s="44" t="s">
        <v>186</v>
      </c>
    </row>
    <row r="3" spans="1:2" ht="45">
      <c r="A3" s="43">
        <v>41892.822916666664</v>
      </c>
      <c r="B3" s="44" t="s">
        <v>163</v>
      </c>
    </row>
    <row r="4" spans="1:2" ht="30">
      <c r="A4" s="43">
        <v>41878.628472222219</v>
      </c>
      <c r="B4" s="44" t="s">
        <v>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6795_1.10.1.03_atm_ctm</vt:lpstr>
      <vt:lpstr>6795_1.10.1.03_atm</vt:lpstr>
      <vt:lpstr>6795_1.10.1.03_tp</vt:lpstr>
      <vt:lpstr>6795_1.10.1.03_ht</vt:lpstr>
      <vt:lpstr>6595_coolers</vt:lpstr>
      <vt:lpstr>6595_tz</vt:lpstr>
      <vt:lpstr>Doc_History</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2014-12-01T12:23:44Z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