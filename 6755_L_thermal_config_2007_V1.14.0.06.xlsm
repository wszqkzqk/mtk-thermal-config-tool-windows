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6.xml" ContentType="application/vnd.openxmlformats-officedocument.spreadsheetml.externalLink+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updateLinks="always" codeName="ThisWorkbook" defaultThemeVersion="124226"/>
  <bookViews>
    <workbookView xWindow="-105" yWindow="-105" windowWidth="14730" windowHeight="11610" firstSheet="1" activeTab="6"/>
  </bookViews>
  <sheets>
    <sheet name="6755_1.14.0.06_catmp_META" sheetId="202" r:id="rId1"/>
    <sheet name="6755_1.14.0.06_catmp_PIP" sheetId="201" r:id="rId2"/>
    <sheet name="6755_1.14.0.06_catmp_VRGIS" sheetId="200" r:id="rId3"/>
    <sheet name="6755_1.14.0.06_catmp_WFD" sheetId="199" r:id="rId4"/>
    <sheet name="6755_1.14.0.06_catmp_eng" sheetId="198" r:id="rId5"/>
    <sheet name="6755_1.14.0.06_catmp" sheetId="197" r:id="rId6"/>
    <sheet name="6755_1.14.0.06_tp" sheetId="157" r:id="rId7"/>
    <sheet name="6755_1.14.0.06_ht" sheetId="158" r:id="rId8"/>
    <sheet name="6755_coolers" sheetId="150" r:id="rId9"/>
    <sheet name="6755_tz" sheetId="125" r:id="rId10"/>
  </sheets>
  <functionGroups/>
  <externalReferences>
    <externalReference r:id="rId11"/>
    <externalReference r:id="rId12"/>
    <externalReference r:id="rId13"/>
    <externalReference r:id="rId14"/>
    <externalReference r:id="rId15"/>
    <externalReference r:id="rId16"/>
  </externalReferences>
  <calcPr calcId="125725"/>
</workbook>
</file>

<file path=xl/calcChain.xml><?xml version="1.0" encoding="utf-8"?>
<calcChain xmlns="http://schemas.openxmlformats.org/spreadsheetml/2006/main">
  <c r="AZ88" i="202"/>
  <c r="AZ87" s="1"/>
  <c r="AZ86"/>
  <c r="AZ85" s="1"/>
  <c r="AZ88" i="201"/>
  <c r="AZ87" s="1"/>
  <c r="AZ86"/>
  <c r="AZ85" s="1"/>
  <c r="AZ88" i="200"/>
  <c r="AZ87" s="1"/>
  <c r="AZ86"/>
  <c r="AZ85" s="1"/>
  <c r="AZ88" i="199"/>
  <c r="AZ87" s="1"/>
  <c r="AZ86"/>
  <c r="AZ85" s="1"/>
  <c r="AZ88" i="198" l="1"/>
  <c r="AZ87" s="1"/>
  <c r="AZ86"/>
  <c r="AZ85" s="1"/>
  <c r="AZ88" i="158"/>
  <c r="AZ87"/>
  <c r="AZ86"/>
  <c r="AZ85" s="1"/>
  <c r="AZ88" i="157"/>
  <c r="AZ87" s="1"/>
  <c r="AZ86"/>
  <c r="AZ85" s="1"/>
  <c r="AZ88" i="197"/>
  <c r="AZ87" s="1"/>
  <c r="AZ86"/>
  <c r="AZ85" s="1"/>
</calcChain>
</file>

<file path=xl/sharedStrings.xml><?xml version="1.0" encoding="utf-8"?>
<sst xmlns="http://schemas.openxmlformats.org/spreadsheetml/2006/main" count="13704" uniqueCount="266">
  <si>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</si>
  <si>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</si>
  <si>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</si>
  <si>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</si>
  <si>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</si>
  <si>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</si>
  <si>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</si>
  <si>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</si>
  <si>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</si>
  <si>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</si>
  <si>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</si>
  <si>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</si>
  <si>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</si>
  <si>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</si>
  <si>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</si>
  <si>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</si>
  <si>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</si>
  <si>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</si>
  <si>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</si>
  <si>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</si>
  <si>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</si>
  <si>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</si>
  <si>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</si>
  <si>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</si>
  <si>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</si>
  <si>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</si>
  <si>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</si>
  <si>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</si>
  <si>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</si>
  <si>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</si>
  <si>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</si>
  <si>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</si>
  <si>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</si>
  <si>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</si>
  <si>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</si>
  <si>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</si>
  <si>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</si>
  <si>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</si>
  <si>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</si>
  <si>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</si>
  <si>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</si>
  <si>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</si>
  <si>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</si>
  <si>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DurX (Sec)</t>
  </si>
  <si>
    <t>ThroU (X/Y)</t>
  </si>
  <si>
    <t>1/3</t>
  </si>
  <si>
    <t>DurY (Sec)</t>
  </si>
  <si>
    <t>5</t>
  </si>
  <si>
    <t>ThroL (X/Y)</t>
  </si>
  <si>
    <t>3/2</t>
  </si>
  <si>
    <t>RstX (Sec)</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</si>
  <si>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</si>
  <si>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</si>
  <si>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</si>
  <si>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</si>
  <si>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</si>
  <si>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</si>
  <si>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</si>
  <si>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</si>
  <si>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</si>
  <si>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</si>
  <si>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</si>
  <si>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</si>
  <si>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</si>
  <si>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</si>
  <si>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</si>
  <si>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</si>
  <si>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</si>
  <si>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mtktsAP</t>
  </si>
  <si>
    <t>mtktsbuck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</si>
  <si>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</si>
  <si>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</si>
  <si>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</si>
  <si>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</si>
  <si>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</si>
  <si>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</si>
  <si>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</si>
  <si>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</si>
  <si>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</si>
  <si>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</si>
  <si>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</si>
  <si>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</si>
  <si>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</si>
  <si>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</si>
  <si>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</si>
  <si>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</si>
  <si>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</si>
  <si>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</si>
  <si>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</si>
  <si>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</si>
  <si>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</si>
  <si>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</si>
  <si>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</si>
  <si>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</si>
  <si>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</si>
  <si>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</si>
  <si>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</si>
  <si>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</si>
  <si>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</si>
  <si>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</si>
  <si>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</si>
  <si>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</si>
  <si>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</si>
  <si>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</si>
  <si>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</si>
  <si>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</si>
  <si>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</si>
  <si>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</si>
  <si>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</si>
  <si>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</si>
  <si>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</si>
  <si>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</si>
  <si>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mtk-cl-bcct01</t>
  </si>
  <si>
    <t>mtk-cl-bcct02</t>
  </si>
  <si>
    <t>mtktswmt-pa2</t>
  </si>
  <si>
    <t>2000</t>
  </si>
  <si>
    <t>20</t>
  </si>
  <si>
    <t>15</t>
  </si>
  <si>
    <t>1500</t>
  </si>
  <si>
    <t>NTC</t>
  </si>
  <si>
    <t>PUP_R</t>
  </si>
  <si>
    <t>PUP_VOLT</t>
  </si>
  <si>
    <t>1800</t>
  </si>
  <si>
    <t>OVER_CRITICAL_L</t>
  </si>
  <si>
    <t>NTC_TABLE</t>
  </si>
  <si>
    <t>Value</t>
  </si>
  <si>
    <t>Param</t>
  </si>
  <si>
    <t>AP ADC Channel</t>
  </si>
  <si>
    <t>mtkts1</t>
  </si>
  <si>
    <t>mtkts4</t>
  </si>
  <si>
    <t>AP NTC aka BTS</t>
  </si>
  <si>
    <t>EXIT</t>
  </si>
  <si>
    <t>mtktsbtsmdpa</t>
  </si>
  <si>
    <t>TS inside MT6311 IC</t>
  </si>
  <si>
    <t>390000</t>
  </si>
  <si>
    <t>4251000</t>
  </si>
  <si>
    <t>6</t>
  </si>
  <si>
    <t>3000</t>
  </si>
  <si>
    <t>900</t>
  </si>
  <si>
    <t>4000</t>
  </si>
  <si>
    <t>2100</t>
  </si>
  <si>
    <t>600</t>
  </si>
  <si>
    <t>30</t>
  </si>
  <si>
    <t>cl-amutt-upper</t>
  </si>
  <si>
    <t>mtk-cl-mutt00</t>
  </si>
  <si>
    <t>cl-amutt-asparam</t>
  </si>
  <si>
    <t>60</t>
  </si>
  <si>
    <t>STEP</t>
  </si>
  <si>
    <t>Down Step</t>
  </si>
  <si>
    <t>mutt00 active ms</t>
  </si>
  <si>
    <t>active ms</t>
  </si>
  <si>
    <t>mutt00 suspend ms</t>
  </si>
  <si>
    <t>suspend ms</t>
  </si>
  <si>
    <t>Up Step</t>
  </si>
  <si>
    <t>mutt01 active ms</t>
  </si>
  <si>
    <t>mutt01 suspend ms</t>
  </si>
  <si>
    <t>Interval (Sec)</t>
  </si>
  <si>
    <t>mutt02 active ms</t>
  </si>
  <si>
    <t>max step</t>
  </si>
  <si>
    <t>4</t>
  </si>
  <si>
    <t>mutt02 suspend ms</t>
  </si>
  <si>
    <t>cl-amutt-lower</t>
  </si>
  <si>
    <t>mtk-cl-mutt01</t>
  </si>
  <si>
    <t>mtk-cl-mutt02</t>
  </si>
  <si>
    <t>/proc/driver/thermal/clbcct</t>
  </si>
  <si>
    <t>/proc/driver/thermal/clwmt_val</t>
  </si>
  <si>
    <t>/proc/driver/thermal/clatm_setting</t>
  </si>
  <si>
    <t>/proc/driver/thermal/tzbts_param</t>
  </si>
  <si>
    <t>/proc/driver/thermal/tzbtspa_param</t>
  </si>
  <si>
    <t>/proc/driver/thermal/clamutt_param</t>
  </si>
  <si>
    <t>/proc/driver/thermal/clamutt_asparam</t>
  </si>
  <si>
    <t>/proc/driver/thermal/clmutt</t>
  </si>
  <si>
    <t>/proc/driver/thermal/tzcpu</t>
  </si>
  <si>
    <t>/proc/driver/thermal/tzabb</t>
  </si>
  <si>
    <t>/proc/driver/thermal/tzpmic</t>
  </si>
  <si>
    <t>/proc/driver/thermal/tzbattery</t>
  </si>
  <si>
    <t>/proc/driver/thermal/tzpa</t>
  </si>
  <si>
    <t>/proc/driver/thermal/tzwmt</t>
  </si>
  <si>
    <t>/proc/driver/thermal/tzbts</t>
  </si>
  <si>
    <t>/proc/driver/thermal/tz6311</t>
  </si>
  <si>
    <t>/proc/driver/thermal/tzts1</t>
  </si>
  <si>
    <t>/proc/driver/thermal/tzbtspa</t>
  </si>
  <si>
    <t xml:space="preserve"> </t>
  </si>
  <si>
    <t>mtk-cl-cam00</t>
    <phoneticPr fontId="8" type="noConversion"/>
  </si>
  <si>
    <t>/proc/driver/cl_cam</t>
    <phoneticPr fontId="8" type="noConversion"/>
  </si>
  <si>
    <t>mtk-cl-kshutdown00</t>
    <phoneticPr fontId="8" type="noConversion"/>
  </si>
  <si>
    <t>/proc/driver/thermal/tzts2</t>
    <phoneticPr fontId="8" type="noConversion"/>
  </si>
  <si>
    <t>/proc/driver/thermal/tzts3</t>
    <phoneticPr fontId="8" type="noConversion"/>
  </si>
  <si>
    <t>/proc/driver/thermal/tzts4</t>
    <phoneticPr fontId="8" type="noConversion"/>
  </si>
  <si>
    <t>mtkts2</t>
    <phoneticPr fontId="8" type="noConversion"/>
  </si>
  <si>
    <t>mtkts3</t>
    <phoneticPr fontId="8" type="noConversion"/>
  </si>
  <si>
    <t>mtkts4</t>
    <phoneticPr fontId="8" type="noConversion"/>
  </si>
  <si>
    <t>NTC nearby PA</t>
    <phoneticPr fontId="8" type="noConversion"/>
  </si>
  <si>
    <t>ctm</t>
  </si>
  <si>
    <t>ctm on</t>
  </si>
  <si>
    <t>Target Tj 0</t>
  </si>
  <si>
    <t>85000</t>
  </si>
  <si>
    <t>Target Tj 2</t>
  </si>
  <si>
    <t>Tpcb 1</t>
  </si>
  <si>
    <t>Exit Tj 0</t>
  </si>
  <si>
    <t>Exit Tj 2</t>
  </si>
  <si>
    <t>Enter_a</t>
  </si>
  <si>
    <t>Enter_b</t>
  </si>
  <si>
    <t>Exit_a</t>
  </si>
  <si>
    <t>Exit_b</t>
  </si>
  <si>
    <t>/proc/driver/thermal/clctm</t>
  </si>
  <si>
    <t>mtkts2</t>
    <phoneticPr fontId="8" type="noConversion"/>
  </si>
  <si>
    <t>mtkts3</t>
    <phoneticPr fontId="8" type="noConversion"/>
  </si>
  <si>
    <t>mtkts4</t>
    <phoneticPr fontId="8" type="noConversion"/>
  </si>
  <si>
    <t>Max temp in MT6755 TS</t>
    <phoneticPr fontId="8" type="noConversion"/>
  </si>
  <si>
    <t>TS2 Inside MT6755 IC near ABB</t>
    <phoneticPr fontId="8" type="noConversion"/>
  </si>
  <si>
    <t>TS inside MT6351IC</t>
    <phoneticPr fontId="8" type="noConversion"/>
  </si>
  <si>
    <t>TS inside MT6291 and may near PA</t>
    <phoneticPr fontId="8" type="noConversion"/>
  </si>
  <si>
    <t>TS inside MT6625</t>
    <phoneticPr fontId="8" type="noConversion"/>
  </si>
  <si>
    <t>TS1 inside MT6755 IC</t>
    <phoneticPr fontId="8" type="noConversion"/>
  </si>
  <si>
    <t>TS2 inside MT6755 IC</t>
    <phoneticPr fontId="8" type="noConversion"/>
  </si>
  <si>
    <t>TS3 inside MT6755 IC</t>
    <phoneticPr fontId="8" type="noConversion"/>
  </si>
  <si>
    <t>TS4 inside MT6755 IC</t>
    <phoneticPr fontId="8" type="noConversion"/>
  </si>
  <si>
    <t>NULL</t>
    <phoneticPr fontId="8" type="noConversion"/>
  </si>
  <si>
    <t>mtkts2</t>
    <phoneticPr fontId="8" type="noConversion"/>
  </si>
  <si>
    <t>mtkts3</t>
    <phoneticPr fontId="8" type="noConversion"/>
  </si>
  <si>
    <t>mtkts4</t>
    <phoneticPr fontId="8" type="noConversion"/>
  </si>
  <si>
    <t>mtktsdcxo</t>
    <phoneticPr fontId="8" type="noConversion"/>
  </si>
  <si>
    <t>/proc/driver/thermal/tzdcxo</t>
    <phoneticPr fontId="8" type="noConversion"/>
  </si>
  <si>
    <t>TS inside DCXO</t>
    <phoneticPr fontId="8" type="noConversion"/>
  </si>
  <si>
    <t>mtk-cl-mutt03</t>
    <phoneticPr fontId="8" type="noConversion"/>
  </si>
  <si>
    <t>K_SUM_TT_HIGH</t>
  </si>
  <si>
    <t>10</t>
  </si>
  <si>
    <t>K_SUM_TT_LOW</t>
  </si>
  <si>
    <t>CATM2_STEADY_TTJ_DELTA</t>
  </si>
  <si>
    <t>10000</t>
  </si>
  <si>
    <t>67000</t>
  </si>
  <si>
    <t>25</t>
  </si>
  <si>
    <t>mtkts2</t>
  </si>
  <si>
    <t>mtkts3</t>
  </si>
  <si>
    <t>2500</t>
  </si>
  <si>
    <t>45000</t>
  </si>
  <si>
    <t>Tpcb 2</t>
  </si>
  <si>
    <t>48000</t>
  </si>
  <si>
    <t>410</t>
  </si>
  <si>
    <t>75000</t>
  </si>
  <si>
    <t>1600</t>
  </si>
  <si>
    <t>61000</t>
  </si>
  <si>
    <t>550</t>
  </si>
  <si>
    <t>51000</t>
    <phoneticPr fontId="8" type="noConversion"/>
  </si>
  <si>
    <t>68000</t>
    <phoneticPr fontId="8" type="noConversion"/>
  </si>
  <si>
    <t>900</t>
    <phoneticPr fontId="8" type="noConversion"/>
  </si>
  <si>
    <t>45000</t>
    <phoneticPr fontId="8" type="noConversion"/>
  </si>
  <si>
    <t>51000</t>
    <phoneticPr fontId="8" type="noConversion"/>
  </si>
  <si>
    <t>85000</t>
    <phoneticPr fontId="8" type="noConversion"/>
  </si>
  <si>
    <t>900</t>
    <phoneticPr fontId="8" type="noConversion"/>
  </si>
  <si>
    <t>mtk-cl-noIMS</t>
  </si>
  <si>
    <t>mtk-cl-noIMS</t>
    <phoneticPr fontId="8" type="noConversion"/>
  </si>
  <si>
    <t>mtk-cl-mdoff</t>
  </si>
  <si>
    <t>mtk-cl-mdoff</t>
    <phoneticPr fontId="8" type="noConversion"/>
  </si>
  <si>
    <t>mutt03 active ms</t>
    <phoneticPr fontId="8" type="noConversion"/>
  </si>
  <si>
    <t>mutt03 suspend ms</t>
    <phoneticPr fontId="8" type="noConversion"/>
  </si>
  <si>
    <t>mtk-cl-mutt03</t>
  </si>
  <si>
    <t>10</t>
    <phoneticPr fontId="8" type="noConversion"/>
  </si>
  <si>
    <t>15</t>
    <phoneticPr fontId="8" type="noConversion"/>
  </si>
  <si>
    <t>10</t>
    <phoneticPr fontId="8" type="noConversion"/>
  </si>
  <si>
    <t>15</t>
    <phoneticPr fontId="8" type="noConversion"/>
  </si>
  <si>
    <t>68000</t>
  </si>
  <si>
    <t>51000</t>
  </si>
  <si>
    <t>62000</t>
  </si>
  <si>
    <t>mtk-cl-cam00</t>
  </si>
</sst>
</file>

<file path=xl/styles.xml><?xml version="1.0" encoding="utf-8"?>
<styleSheet xmlns="http://schemas.openxmlformats.org/spreadsheetml/2006/main">
  <fonts count="12">
    <font>
      <sz val="11"/>
      <color theme="1"/>
      <name val="新細明體"/>
      <family val="2"/>
      <scheme val="minor"/>
    </font>
    <font>
      <sz val="10"/>
      <color theme="1"/>
      <name val="新細明體"/>
      <family val="2"/>
      <scheme val="minor"/>
    </font>
    <font>
      <b/>
      <sz val="10"/>
      <color theme="0"/>
      <name val="新細明體"/>
      <family val="2"/>
      <scheme val="minor"/>
    </font>
    <font>
      <sz val="10"/>
      <color rgb="FFFFFF00"/>
      <name val="新細明體"/>
      <family val="2"/>
      <scheme val="minor"/>
    </font>
    <font>
      <b/>
      <sz val="10"/>
      <color theme="9" tint="-0.249977111117893"/>
      <name val="新細明體"/>
      <family val="2"/>
      <scheme val="minor"/>
    </font>
    <font>
      <sz val="10"/>
      <color theme="0"/>
      <name val="新細明體"/>
      <family val="2"/>
      <scheme val="minor"/>
    </font>
    <font>
      <sz val="10"/>
      <name val="新細明體"/>
      <family val="2"/>
      <scheme val="minor"/>
    </font>
    <font>
      <sz val="10"/>
      <color rgb="FFFF0000"/>
      <name val="新細明體"/>
      <family val="2"/>
      <scheme val="minor"/>
    </font>
    <font>
      <sz val="9"/>
      <name val="新細明體"/>
      <family val="3"/>
      <charset val="136"/>
      <scheme val="minor"/>
    </font>
    <font>
      <sz val="10"/>
      <color rgb="FF0000FF"/>
      <name val="新細明體"/>
      <family val="2"/>
      <scheme val="minor"/>
    </font>
    <font>
      <sz val="10"/>
      <color rgb="FFFF0000"/>
      <name val="新細明體"/>
      <family val="1"/>
      <charset val="136"/>
      <scheme val="minor"/>
    </font>
    <font>
      <sz val="11"/>
      <color rgb="FF000000"/>
      <name val="Calibri"/>
      <family val="2"/>
    </font>
  </fonts>
  <fills count="5">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s>
  <borders count="19">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1">
    <xf numFmtId="0" fontId="0" fillId="0" borderId="0"/>
  </cellStyleXfs>
  <cellXfs count="58">
    <xf numFmtId="0" fontId="0" fillId="0" borderId="0" xfId="0"/>
    <xf numFmtId="0" fontId="1" fillId="0" borderId="0" xfId="0" applyFont="1"/>
    <xf numFmtId="0" fontId="2" fillId="3" borderId="3" xfId="0" applyFont="1" applyFill="1" applyBorder="1" applyAlignment="1" applyProtection="1">
      <alignment horizontal="center" vertical="center"/>
      <protection locked="0"/>
    </xf>
    <xf numFmtId="0" fontId="3" fillId="4" borderId="4" xfId="0" applyFont="1" applyFill="1" applyBorder="1" applyAlignment="1" applyProtection="1">
      <alignment horizontal="center" vertical="center"/>
      <protection locked="0"/>
    </xf>
    <xf numFmtId="0" fontId="1" fillId="4" borderId="5" xfId="0" applyFont="1" applyFill="1" applyBorder="1" applyAlignment="1" applyProtection="1">
      <alignment horizontal="center" vertical="center"/>
      <protection locked="0"/>
    </xf>
    <xf numFmtId="0" fontId="4" fillId="2" borderId="0" xfId="0" applyFont="1" applyFill="1" applyBorder="1" applyAlignment="1" applyProtection="1">
      <protection locked="0"/>
    </xf>
    <xf numFmtId="0" fontId="4" fillId="2" borderId="0" xfId="0" applyFont="1" applyFill="1" applyBorder="1" applyAlignment="1" applyProtection="1">
      <alignment vertical="center"/>
      <protection locked="0"/>
    </xf>
    <xf numFmtId="0" fontId="1" fillId="0" borderId="18" xfId="0" applyFont="1" applyBorder="1"/>
    <xf numFmtId="0" fontId="1" fillId="4" borderId="5" xfId="0" applyFont="1" applyFill="1" applyBorder="1" applyAlignment="1" applyProtection="1">
      <alignment horizontal="center"/>
      <protection locked="0"/>
    </xf>
    <xf numFmtId="0" fontId="1" fillId="2" borderId="2" xfId="0" applyFont="1" applyFill="1" applyBorder="1" applyAlignment="1" applyProtection="1">
      <alignment horizontal="left"/>
      <protection locked="0"/>
    </xf>
    <xf numFmtId="0" fontId="1" fillId="2" borderId="1" xfId="0" applyFont="1" applyFill="1" applyBorder="1" applyAlignment="1" applyProtection="1">
      <alignment horizontal="left"/>
      <protection locked="0"/>
    </xf>
    <xf numFmtId="0" fontId="1" fillId="0" borderId="15" xfId="0" applyFont="1" applyBorder="1"/>
    <xf numFmtId="0" fontId="5" fillId="3" borderId="6"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1" fillId="4" borderId="8"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0" fontId="1" fillId="2" borderId="15" xfId="0" applyFont="1" applyFill="1" applyBorder="1"/>
    <xf numFmtId="0" fontId="5" fillId="2" borderId="0" xfId="0" applyFont="1" applyFill="1" applyAlignment="1" applyProtection="1">
      <alignment horizontal="center"/>
      <protection locked="0"/>
    </xf>
    <xf numFmtId="0" fontId="1" fillId="2" borderId="0" xfId="0" applyFont="1" applyFill="1" applyBorder="1" applyProtection="1">
      <protection locked="0"/>
    </xf>
    <xf numFmtId="0" fontId="1" fillId="2" borderId="0" xfId="0" applyFont="1" applyFill="1"/>
    <xf numFmtId="0" fontId="5" fillId="2" borderId="0" xfId="0" applyFont="1" applyFill="1" applyAlignment="1" applyProtection="1">
      <alignment horizontal="left"/>
      <protection locked="0"/>
    </xf>
    <xf numFmtId="0" fontId="5" fillId="3" borderId="9" xfId="0" applyFont="1" applyFill="1" applyBorder="1" applyAlignment="1" applyProtection="1">
      <alignment horizontal="center"/>
      <protection locked="0"/>
    </xf>
    <xf numFmtId="0" fontId="3" fillId="4" borderId="10" xfId="0" applyFont="1" applyFill="1" applyBorder="1" applyAlignment="1" applyProtection="1">
      <alignment horizontal="center"/>
      <protection locked="0"/>
    </xf>
    <xf numFmtId="0" fontId="5" fillId="4" borderId="11" xfId="0" applyFont="1" applyFill="1" applyBorder="1" applyAlignment="1" applyProtection="1">
      <alignment horizontal="center"/>
      <protection locked="0"/>
    </xf>
    <xf numFmtId="0" fontId="1" fillId="2" borderId="1" xfId="0" applyFont="1" applyFill="1" applyBorder="1" applyProtection="1">
      <protection locked="0"/>
    </xf>
    <xf numFmtId="0" fontId="5" fillId="3" borderId="12" xfId="0" applyFont="1" applyFill="1" applyBorder="1" applyAlignment="1" applyProtection="1">
      <alignment horizontal="center"/>
      <protection locked="0"/>
    </xf>
    <xf numFmtId="0" fontId="3" fillId="4" borderId="13" xfId="0" applyFont="1" applyFill="1" applyBorder="1" applyAlignment="1" applyProtection="1">
      <alignment horizontal="center"/>
      <protection locked="0"/>
    </xf>
    <xf numFmtId="0" fontId="5" fillId="4" borderId="14" xfId="0" applyFont="1" applyFill="1" applyBorder="1" applyAlignment="1" applyProtection="1">
      <alignment horizontal="center"/>
      <protection locked="0"/>
    </xf>
    <xf numFmtId="0" fontId="1" fillId="0" borderId="16" xfId="0" applyFont="1" applyBorder="1"/>
    <xf numFmtId="11" fontId="3" fillId="4" borderId="13" xfId="0" applyNumberFormat="1" applyFont="1" applyFill="1" applyBorder="1" applyAlignment="1" applyProtection="1">
      <alignment horizontal="center"/>
      <protection locked="0"/>
    </xf>
    <xf numFmtId="0" fontId="1" fillId="2" borderId="17" xfId="0" applyFont="1" applyFill="1" applyBorder="1"/>
    <xf numFmtId="0" fontId="1" fillId="0" borderId="17" xfId="0" applyFont="1" applyBorder="1"/>
    <xf numFmtId="0" fontId="1" fillId="0" borderId="0" xfId="0" applyFont="1" applyAlignment="1">
      <alignment horizontal="center"/>
    </xf>
    <xf numFmtId="0" fontId="1" fillId="2" borderId="0" xfId="0" applyFont="1" applyFill="1" applyBorder="1"/>
    <xf numFmtId="0" fontId="5" fillId="3" borderId="0" xfId="0" applyFont="1" applyFill="1" applyBorder="1" applyAlignment="1" applyProtection="1">
      <alignment horizontal="center"/>
      <protection locked="0"/>
    </xf>
    <xf numFmtId="0" fontId="3" fillId="4" borderId="7" xfId="0" applyFont="1" applyFill="1" applyBorder="1" applyAlignment="1" applyProtection="1">
      <alignment horizontal="left"/>
      <protection locked="0"/>
    </xf>
    <xf numFmtId="0" fontId="0" fillId="0" borderId="0" xfId="0" applyBorder="1"/>
    <xf numFmtId="49" fontId="3" fillId="4" borderId="7"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Border="1" applyAlignment="1">
      <alignment horizontal="center"/>
    </xf>
    <xf numFmtId="0" fontId="5" fillId="3" borderId="0" xfId="0" applyFont="1" applyFill="1" applyBorder="1" applyAlignment="1" applyProtection="1">
      <alignment horizontal="center"/>
    </xf>
    <xf numFmtId="0" fontId="3" fillId="4" borderId="7" xfId="0" applyFont="1" applyFill="1" applyBorder="1" applyAlignment="1" applyProtection="1">
      <alignment horizontal="left"/>
    </xf>
    <xf numFmtId="0" fontId="7" fillId="4" borderId="8" xfId="0" applyFont="1" applyFill="1" applyBorder="1" applyAlignment="1" applyProtection="1">
      <alignment horizontal="center"/>
      <protection locked="0"/>
    </xf>
    <xf numFmtId="0" fontId="7" fillId="4" borderId="7" xfId="0" applyFont="1" applyFill="1" applyBorder="1" applyAlignment="1" applyProtection="1">
      <alignment horizontal="center"/>
      <protection locked="0"/>
    </xf>
    <xf numFmtId="0" fontId="7" fillId="4" borderId="13" xfId="0" applyFont="1" applyFill="1" applyBorder="1" applyAlignment="1" applyProtection="1">
      <alignment horizontal="center"/>
      <protection locked="0"/>
    </xf>
    <xf numFmtId="0" fontId="7" fillId="4" borderId="5" xfId="0" applyFont="1" applyFill="1" applyBorder="1" applyAlignment="1" applyProtection="1">
      <alignment horizontal="center"/>
      <protection locked="0"/>
    </xf>
    <xf numFmtId="0" fontId="7" fillId="4" borderId="7" xfId="0" applyFont="1" applyFill="1" applyBorder="1" applyAlignment="1" applyProtection="1">
      <alignment horizontal="left"/>
      <protection locked="0"/>
    </xf>
    <xf numFmtId="0" fontId="7" fillId="4" borderId="5" xfId="0" applyFont="1" applyFill="1" applyBorder="1" applyAlignment="1" applyProtection="1">
      <alignment horizontal="center" vertical="center"/>
      <protection locked="0"/>
    </xf>
    <xf numFmtId="49" fontId="7" fillId="4" borderId="7" xfId="0" applyNumberFormat="1" applyFont="1" applyFill="1" applyBorder="1" applyAlignment="1" applyProtection="1">
      <alignment horizontal="left"/>
      <protection locked="0"/>
    </xf>
    <xf numFmtId="0" fontId="9" fillId="4" borderId="7" xfId="0" applyFont="1" applyFill="1" applyBorder="1" applyAlignment="1" applyProtection="1">
      <alignment horizontal="center"/>
      <protection locked="0"/>
    </xf>
    <xf numFmtId="0" fontId="0" fillId="0" borderId="0" xfId="0" applyFont="1"/>
    <xf numFmtId="1" fontId="7" fillId="4" borderId="7" xfId="0" applyNumberFormat="1" applyFont="1" applyFill="1" applyBorder="1" applyAlignment="1" applyProtection="1">
      <alignment horizontal="left"/>
      <protection locked="0"/>
    </xf>
    <xf numFmtId="0" fontId="7" fillId="4" borderId="7" xfId="0" applyFont="1" applyFill="1" applyBorder="1" applyAlignment="1" applyProtection="1">
      <alignment horizontal="left"/>
    </xf>
    <xf numFmtId="0" fontId="10" fillId="4" borderId="7" xfId="0" applyFont="1" applyFill="1" applyBorder="1" applyAlignment="1" applyProtection="1">
      <alignment horizontal="center"/>
      <protection locked="0"/>
    </xf>
    <xf numFmtId="0" fontId="10" fillId="4" borderId="8" xfId="0" applyFont="1" applyFill="1" applyBorder="1" applyAlignment="1" applyProtection="1">
      <alignment horizontal="center"/>
      <protection locked="0"/>
    </xf>
    <xf numFmtId="0" fontId="7" fillId="2" borderId="0" xfId="0" applyFont="1" applyFill="1" applyAlignment="1" applyProtection="1">
      <alignment horizontal="center"/>
      <protection locked="0"/>
    </xf>
    <xf numFmtId="0" fontId="7" fillId="4" borderId="4" xfId="0" applyFont="1" applyFill="1" applyBorder="1" applyAlignment="1" applyProtection="1">
      <alignment horizontal="center" vertical="center"/>
      <protection locked="0"/>
    </xf>
  </cellXfs>
  <cellStyles count="1">
    <cellStyle name="一般"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colors>
    <mruColors>
      <color rgb="FF0000FF"/>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Thermal/@@@Thermal%20TASK/Thermal%20Config%20Tool%20(binary)/2015.8.14/Thermal_Config_Tool_exe_v1.1522.0/thermal_config_tool_V1.13.0_dev/6580_L_thermal_config_2015_050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mtk08455\AppData\Roaming\Microsoft\Excel\6755_L_thermal_config_2015_7-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Thermal\@@@Thermal%20TASK\Jade\tool\thermal_config_tool_V1.13.0_dev\6755_L_thermal_config_2015_7-17.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mtk08455\AppData\Roaming\Microsoft\Excel\6755_L_thermal_config_2015_7-15_CATM2.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tk08455\AppData\Roaming\Microsoft\Excel\6795_L_thermal_config_2007_V1.10.1.03.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PROJECT\Denali_1\D1_Tools\6735_thermal_config_tool_V1.10.0_eng\6752_thermal_config_2007_V1.9.1.03_MTKonl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6580_catm_5-4-no-char-limit2"/>
      <sheetName val="6580_catm_5-4"/>
      <sheetName val="6580_catm_eng-5-4"/>
      <sheetName val="6580_1.10.0.00_ht"/>
      <sheetName val="6580_1.10.0.00_tp"/>
      <sheetName val="6735_coolers"/>
      <sheetName val="6735_tz"/>
    </sheetNames>
    <sheetDataSet>
      <sheetData sheetId="0"/>
      <sheetData sheetId="1"/>
      <sheetData sheetId="2"/>
      <sheetData sheetId="3"/>
      <sheetData sheetId="4"/>
      <sheetData sheetId="5"/>
      <sheetData sheetId="6"/>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6755_1.11.0.00_catm_wfd"/>
      <sheetName val="6755_1.11.0.00_catm_no_bcct-eng"/>
      <sheetName val="6755_1.11.0.00_catm_no_bcct"/>
      <sheetName val="6755_1.11.0.00_catm-eng"/>
      <sheetName val="6755_1.11.0.00_catm"/>
      <sheetName val="6755_1.10.0.00_tp"/>
      <sheetName val="6755_1.10.0.00_ht"/>
      <sheetName val="6755_coolers"/>
      <sheetName val="6755_tz"/>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6755_1.11.0.00_catm_wfd"/>
      <sheetName val="6755_1.11.0.00_catm_no_bcct-eng"/>
      <sheetName val="6755_1.11.0.00_catm_no_bcct"/>
      <sheetName val="6755_1.11.0.00_catm-eng"/>
      <sheetName val="6755_1.11.0.00_catm"/>
      <sheetName val="6755_1.10.0.00_tp"/>
      <sheetName val="6755_1.10.0.00_ht"/>
      <sheetName val="6755_coolers"/>
      <sheetName val="6755_tz"/>
    </sheetNames>
    <sheetDataSet>
      <sheetData sheetId="0"/>
      <sheetData sheetId="1"/>
      <sheetData sheetId="2"/>
      <sheetData sheetId="3"/>
      <sheetData sheetId="4"/>
      <sheetData sheetId="5"/>
      <sheetData sheetId="6"/>
      <sheetData sheetId="7"/>
      <sheetData sheetId="8"/>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6755_1.11.0.00_catm2-eng"/>
      <sheetName val="catm"/>
      <sheetName val="P2"/>
      <sheetName val="6755_1.11.0.00_catm-eng"/>
      <sheetName val="6755_1.11.0.00_catm_wfd"/>
      <sheetName val="6755_1.11.0.00_catm_no_bcct-eng"/>
      <sheetName val="6755_1.11.0.00_catm_no_bcct"/>
      <sheetName val="6755_1.11.0.00_catm"/>
      <sheetName val="6755_1.10.0.00_tp"/>
      <sheetName val="6755_1.10.0.00_ht"/>
      <sheetName val="6755_coolers"/>
      <sheetName val="6755_tz"/>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6795_1.10.1.03_atm_ctm"/>
      <sheetName val="6795_1.10.1.03_atm"/>
      <sheetName val="6795_1.10.1.03_tp"/>
      <sheetName val="6795_1.10.1.03_ht"/>
      <sheetName val="6595_coolers"/>
      <sheetName val="6595_tz"/>
      <sheetName val="Doc_History"/>
    </sheetNames>
    <sheetDataSet>
      <sheetData sheetId="0"/>
      <sheetData sheetId="1"/>
      <sheetData sheetId="2"/>
      <sheetData sheetId="3"/>
      <sheetData sheetId="4"/>
      <sheetData sheetId="5"/>
      <sheetData sheetId="6"/>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6752_1.9.1.03_atm"/>
      <sheetName val="6752_1.9.1.03_tp"/>
      <sheetName val="6752_1.9.1.03_ht"/>
      <sheetName val="6752_coolers"/>
      <sheetName val="6752_tz"/>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1" name="Table37" displayName="Table37" ref="A1:C72" totalsRowShown="0">
  <autoFilter ref="A1:C72"/>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5" totalsRowShown="0">
  <autoFilter ref="A1:C15"/>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86">
    <tabColor rgb="FFFF0000"/>
  </sheetPr>
  <dimension ref="A1:BA122"/>
  <sheetViews>
    <sheetView zoomScale="90" zoomScaleNormal="90" workbookViewId="0">
      <selection activeCell="B27" sqref="B27"/>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37</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233</v>
      </c>
      <c r="AR1" s="4" t="s">
        <v>36</v>
      </c>
      <c r="AS1" s="6"/>
      <c r="AT1" s="2" t="s">
        <v>35</v>
      </c>
      <c r="AU1" s="3" t="s">
        <v>234</v>
      </c>
      <c r="AV1" s="4" t="s">
        <v>36</v>
      </c>
      <c r="AW1" s="6"/>
      <c r="AX1" s="2" t="s">
        <v>35</v>
      </c>
      <c r="AY1" s="3" t="s">
        <v>129</v>
      </c>
      <c r="AZ1" s="4" t="s">
        <v>36</v>
      </c>
      <c r="BA1" s="51"/>
    </row>
    <row r="2" spans="1:53" ht="30.75" customHeight="1">
      <c r="B2" s="2" t="s">
        <v>9</v>
      </c>
      <c r="C2" s="3">
        <v>2</v>
      </c>
      <c r="D2" s="8"/>
      <c r="E2" s="9"/>
      <c r="F2" s="2" t="s">
        <v>9</v>
      </c>
      <c r="G2" s="3">
        <v>1</v>
      </c>
      <c r="H2" s="8"/>
      <c r="I2" s="10"/>
      <c r="J2" s="2" t="s">
        <v>9</v>
      </c>
      <c r="K2" s="57">
        <v>4</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4</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67000</v>
      </c>
      <c r="D10" s="14"/>
      <c r="E10" s="10"/>
      <c r="F10" s="12" t="s">
        <v>7</v>
      </c>
      <c r="G10" s="13">
        <v>0</v>
      </c>
      <c r="H10" s="14"/>
      <c r="I10" s="10"/>
      <c r="J10" s="12" t="s">
        <v>7</v>
      </c>
      <c r="K10" s="44">
        <v>40000</v>
      </c>
      <c r="L10" s="43"/>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110000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44">
        <v>0</v>
      </c>
      <c r="L11" s="43"/>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44" t="s">
        <v>113</v>
      </c>
      <c r="L12" s="43"/>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44" t="s">
        <v>253</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44" t="s">
        <v>68</v>
      </c>
      <c r="L13" s="43">
        <v>50000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131</v>
      </c>
      <c r="AJ13" s="55">
        <v>3000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44" t="s">
        <v>131</v>
      </c>
      <c r="L14" s="43">
        <v>1999</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44" t="s">
        <v>13</v>
      </c>
      <c r="L15" s="43">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44">
        <v>37000</v>
      </c>
      <c r="L17" s="43"/>
      <c r="M17" s="10"/>
      <c r="N17" s="12" t="s">
        <v>7</v>
      </c>
      <c r="O17" s="13">
        <v>0</v>
      </c>
      <c r="P17" s="14"/>
      <c r="Q17" s="10"/>
      <c r="R17" s="12" t="s">
        <v>7</v>
      </c>
      <c r="S17" s="13">
        <v>0</v>
      </c>
      <c r="T17" s="14"/>
      <c r="U17" s="10"/>
      <c r="V17" s="12" t="s">
        <v>7</v>
      </c>
      <c r="W17" s="13">
        <v>0</v>
      </c>
      <c r="X17" s="14"/>
      <c r="Y17" s="10"/>
      <c r="Z17" s="12" t="s">
        <v>7</v>
      </c>
      <c r="AA17" s="44">
        <v>57000</v>
      </c>
      <c r="AB17" s="14"/>
      <c r="AC17" s="10"/>
      <c r="AD17" s="12" t="s">
        <v>7</v>
      </c>
      <c r="AE17" s="13">
        <v>0</v>
      </c>
      <c r="AF17" s="14"/>
      <c r="AG17" s="10"/>
      <c r="AH17" s="12" t="s">
        <v>7</v>
      </c>
      <c r="AI17" s="54">
        <v>100000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44">
        <v>0</v>
      </c>
      <c r="L18" s="43"/>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44" t="s">
        <v>112</v>
      </c>
      <c r="L19" s="43"/>
      <c r="M19" s="10"/>
      <c r="N19" s="12" t="s">
        <v>5</v>
      </c>
      <c r="O19" s="13" t="s">
        <v>4</v>
      </c>
      <c r="P19" s="14"/>
      <c r="Q19" s="10"/>
      <c r="R19" s="12" t="s">
        <v>5</v>
      </c>
      <c r="S19" s="13" t="s">
        <v>4</v>
      </c>
      <c r="T19" s="14"/>
      <c r="U19" s="10"/>
      <c r="V19" s="12" t="s">
        <v>5</v>
      </c>
      <c r="W19" s="13" t="s">
        <v>4</v>
      </c>
      <c r="X19" s="14"/>
      <c r="Y19" s="10"/>
      <c r="Z19" s="12" t="s">
        <v>5</v>
      </c>
      <c r="AA19" s="44" t="s">
        <v>265</v>
      </c>
      <c r="AB19" s="14"/>
      <c r="AC19" s="10"/>
      <c r="AD19" s="12" t="s">
        <v>5</v>
      </c>
      <c r="AE19" s="13" t="s">
        <v>4</v>
      </c>
      <c r="AF19" s="14"/>
      <c r="AG19" s="10"/>
      <c r="AH19" s="12" t="s">
        <v>5</v>
      </c>
      <c r="AI19" s="54" t="s">
        <v>251</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44" t="s">
        <v>68</v>
      </c>
      <c r="L20" s="43">
        <v>47000</v>
      </c>
      <c r="M20" s="10"/>
      <c r="N20" s="12" t="s">
        <v>11</v>
      </c>
      <c r="O20" s="15" t="s">
        <v>13</v>
      </c>
      <c r="P20" s="14">
        <v>0</v>
      </c>
      <c r="Q20" s="10"/>
      <c r="R20" s="12" t="s">
        <v>11</v>
      </c>
      <c r="S20" s="15" t="s">
        <v>13</v>
      </c>
      <c r="T20" s="14">
        <v>0</v>
      </c>
      <c r="U20" s="10"/>
      <c r="V20" s="12" t="s">
        <v>11</v>
      </c>
      <c r="W20" s="15" t="s">
        <v>13</v>
      </c>
      <c r="X20" s="14">
        <v>0</v>
      </c>
      <c r="Y20" s="10"/>
      <c r="Z20" s="12" t="s">
        <v>11</v>
      </c>
      <c r="AA20" s="44" t="s">
        <v>131</v>
      </c>
      <c r="AB20" s="43">
        <v>5000</v>
      </c>
      <c r="AC20" s="10"/>
      <c r="AD20" s="12" t="s">
        <v>11</v>
      </c>
      <c r="AE20" s="15" t="s">
        <v>13</v>
      </c>
      <c r="AF20" s="14">
        <v>0</v>
      </c>
      <c r="AG20" s="10"/>
      <c r="AH20" s="12" t="s">
        <v>11</v>
      </c>
      <c r="AI20" s="15"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44" t="s">
        <v>131</v>
      </c>
      <c r="L21" s="43">
        <v>1999</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44" t="s">
        <v>13</v>
      </c>
      <c r="L22" s="43">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44">
        <v>35000</v>
      </c>
      <c r="L24" s="43"/>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54">
        <v>90000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44">
        <v>0</v>
      </c>
      <c r="L25" s="43"/>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44" t="s">
        <v>33</v>
      </c>
      <c r="L26" s="43"/>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54" t="s">
        <v>257</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44" t="s">
        <v>68</v>
      </c>
      <c r="L27" s="43">
        <v>45000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44" t="s">
        <v>131</v>
      </c>
      <c r="L28" s="43">
        <v>1999</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44" t="s">
        <v>13</v>
      </c>
      <c r="L29" s="43">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4">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3"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s="51"/>
    </row>
    <row r="76" spans="1:53" s="7" customFormat="1" ht="15.7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s="7" customFormat="1" ht="15.75">
      <c r="A77" s="51"/>
      <c r="B77" s="35" t="s">
        <v>119</v>
      </c>
      <c r="C77" s="36" t="s">
        <v>68</v>
      </c>
      <c r="D77" s="4" t="s">
        <v>36</v>
      </c>
      <c r="E77" s="51"/>
      <c r="F77" s="35" t="s">
        <v>119</v>
      </c>
      <c r="G77" s="36" t="s">
        <v>132</v>
      </c>
      <c r="H77" s="4" t="s">
        <v>36</v>
      </c>
      <c r="I77" s="51"/>
      <c r="J77" s="35" t="s">
        <v>5</v>
      </c>
      <c r="K77" s="47" t="s">
        <v>33</v>
      </c>
      <c r="L77" s="48" t="s">
        <v>36</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row>
    <row r="78" spans="1:53" s="7" customFormat="1" ht="15.75">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row>
    <row r="79" spans="1:53" s="7" customFormat="1" ht="15.75">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235</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249</v>
      </c>
      <c r="BA79" s="51"/>
    </row>
    <row r="80" spans="1:53" s="7" customFormat="1" ht="15.75">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258</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231</v>
      </c>
      <c r="BA80" s="51"/>
    </row>
    <row r="81" spans="1:53" s="7" customFormat="1" ht="15.75">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259</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236</v>
      </c>
      <c r="BA81" s="51"/>
    </row>
    <row r="82" spans="1:53" s="7" customFormat="1" ht="15.75">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227</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237</v>
      </c>
      <c r="AZ82" s="49" t="s">
        <v>238</v>
      </c>
      <c r="BA82" s="51"/>
    </row>
    <row r="83" spans="1:53" s="7" customFormat="1" ht="15.75">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141</v>
      </c>
      <c r="U83" s="51"/>
      <c r="V83" s="35" t="s">
        <v>38</v>
      </c>
      <c r="W83" s="36" t="s">
        <v>55</v>
      </c>
      <c r="X83" s="38" t="s">
        <v>239</v>
      </c>
      <c r="Y83" s="51"/>
      <c r="Z83" s="35" t="s">
        <v>38</v>
      </c>
      <c r="AA83" s="36" t="s">
        <v>55</v>
      </c>
      <c r="AB83" s="38" t="s">
        <v>239</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240</v>
      </c>
      <c r="BA83" s="51"/>
    </row>
    <row r="84" spans="1:53"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241</v>
      </c>
      <c r="Y84" s="51"/>
      <c r="Z84" s="35" t="s">
        <v>38</v>
      </c>
      <c r="AA84" s="36" t="s">
        <v>56</v>
      </c>
      <c r="AB84" s="38" t="s">
        <v>241</v>
      </c>
      <c r="AC84" s="51"/>
      <c r="AD84" s="35" t="s">
        <v>38</v>
      </c>
      <c r="AE84" s="36" t="s">
        <v>158</v>
      </c>
      <c r="AF84" s="38" t="s">
        <v>159</v>
      </c>
      <c r="AG84" s="51"/>
      <c r="AH84" s="35" t="s">
        <v>38</v>
      </c>
      <c r="AI84" s="36" t="s">
        <v>160</v>
      </c>
      <c r="AJ84" s="47">
        <v>6000</v>
      </c>
      <c r="AK84" s="51"/>
      <c r="AL84" s="51"/>
      <c r="AM84" s="51"/>
      <c r="AN84" s="51"/>
      <c r="AO84" s="51"/>
      <c r="AP84" s="51"/>
      <c r="AQ84" s="51"/>
      <c r="AR84" s="51"/>
      <c r="AS84" s="51"/>
      <c r="AT84" s="51"/>
      <c r="AU84" s="51"/>
      <c r="AV84" s="51"/>
      <c r="AW84" s="51"/>
      <c r="AX84" s="35" t="s">
        <v>38</v>
      </c>
      <c r="AY84" s="47" t="s">
        <v>200</v>
      </c>
      <c r="AZ84" s="49" t="s">
        <v>242</v>
      </c>
      <c r="BA84" s="51"/>
    </row>
    <row r="85" spans="1:53"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243</v>
      </c>
      <c r="U85" s="51"/>
      <c r="V85" s="35" t="s">
        <v>38</v>
      </c>
      <c r="W85" s="36" t="s">
        <v>59</v>
      </c>
      <c r="X85" s="38" t="s">
        <v>141</v>
      </c>
      <c r="Y85" s="51"/>
      <c r="Z85" s="35" t="s">
        <v>38</v>
      </c>
      <c r="AA85" s="36" t="s">
        <v>59</v>
      </c>
      <c r="AB85" s="38" t="s">
        <v>141</v>
      </c>
      <c r="AC85" s="51"/>
      <c r="AD85" s="51"/>
      <c r="AE85" s="51"/>
      <c r="AF85" s="51"/>
      <c r="AG85" s="51"/>
      <c r="AH85" s="35" t="s">
        <v>38</v>
      </c>
      <c r="AI85" s="36" t="s">
        <v>255</v>
      </c>
      <c r="AJ85" s="47">
        <v>100</v>
      </c>
      <c r="AK85" s="51"/>
      <c r="AL85" s="51"/>
      <c r="AM85" s="51"/>
      <c r="AN85" s="51"/>
      <c r="AO85" s="51"/>
      <c r="AP85" s="51"/>
      <c r="AQ85" s="51"/>
      <c r="AR85" s="51"/>
      <c r="AS85" s="51"/>
      <c r="AT85" s="51"/>
      <c r="AU85" s="51"/>
      <c r="AV85" s="51"/>
      <c r="AW85" s="51"/>
      <c r="AX85" s="35" t="s">
        <v>38</v>
      </c>
      <c r="AY85" s="47" t="s">
        <v>201</v>
      </c>
      <c r="AZ85" s="52">
        <f>ROUND(AZ80+AZ86*AZ82/1000, 0)</f>
        <v>355000</v>
      </c>
      <c r="BA85" s="51"/>
    </row>
    <row r="86" spans="1:53"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241</v>
      </c>
      <c r="U86" s="51"/>
      <c r="V86" s="35" t="s">
        <v>38</v>
      </c>
      <c r="W86" s="36" t="s">
        <v>60</v>
      </c>
      <c r="X86" s="38" t="s">
        <v>138</v>
      </c>
      <c r="Y86" s="51"/>
      <c r="Z86" s="35" t="s">
        <v>38</v>
      </c>
      <c r="AA86" s="36" t="s">
        <v>60</v>
      </c>
      <c r="AB86" s="38" t="s">
        <v>138</v>
      </c>
      <c r="AC86" s="51"/>
      <c r="AD86" s="51"/>
      <c r="AE86" s="51"/>
      <c r="AF86" s="51"/>
      <c r="AG86" s="51"/>
      <c r="AH86" s="35" t="s">
        <v>38</v>
      </c>
      <c r="AI86" s="36" t="s">
        <v>256</v>
      </c>
      <c r="AJ86" s="47">
        <v>25500</v>
      </c>
      <c r="AK86" s="51"/>
      <c r="AL86" s="51"/>
      <c r="AM86" s="51"/>
      <c r="AN86" s="51"/>
      <c r="AO86" s="51"/>
      <c r="AP86" s="51"/>
      <c r="AQ86" s="51"/>
      <c r="AR86" s="51"/>
      <c r="AS86" s="51"/>
      <c r="AT86" s="51"/>
      <c r="AU86" s="51"/>
      <c r="AV86" s="51"/>
      <c r="AW86" s="51"/>
      <c r="AX86" s="41" t="s">
        <v>38</v>
      </c>
      <c r="AY86" s="53" t="s">
        <v>202</v>
      </c>
      <c r="AZ86" s="52">
        <f>ROUND((AZ79-AZ80)*1000/(AZ82-AZ81),0)</f>
        <v>6000</v>
      </c>
      <c r="BA86" s="51"/>
    </row>
    <row r="87" spans="1:53"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285016</v>
      </c>
      <c r="BA87" s="51"/>
    </row>
    <row r="88" spans="1:53"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4667</v>
      </c>
    </row>
    <row r="89" spans="1:53"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226</v>
      </c>
      <c r="AZ89" s="49" t="s">
        <v>232</v>
      </c>
    </row>
    <row r="90" spans="1:53"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228</v>
      </c>
      <c r="AZ90" s="49" t="s">
        <v>232</v>
      </c>
    </row>
    <row r="91" spans="1:53"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229</v>
      </c>
      <c r="AZ91" s="49" t="s">
        <v>230</v>
      </c>
    </row>
    <row r="92" spans="1:53"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3"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3"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3"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3"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4">
    <dataValidation type="list" allowBlank="1" showInputMessage="1" sqref="AA19">
      <formula1>'[1]6735_coolers'!A2:A134</formula1>
    </dataValidation>
    <dataValidation type="list" allowBlank="1" showInputMessage="1" sqref="AE61 AE47 AE40 AE33 AE26 AE19 AE12 AE68 AA12 AU5 C5 C33 C47 C54 C61 C68 AI5 G5 G19 G26 G33 G40 G47 G54 G61 G68 AY19 K12 AY26 K26 K33 K40 K47 K54 K61 K68 O12 O5 O19 O26 O33 O40 O47 O54 O61 O68 S12 S5 S19 S26 S33 S40 S47 S54 S61 S68 W12 W5 W19 W26 W33 W40 W47 W54 W61 W68 C40 AY47 G12 AA68 AA61 AA54 AA47 AA40 C19 AY12 AY68 C26 AY40 AI61 AI54 AI47 AI40 AI33 AY33 K19 AE54 AI68 AM5 AM61 AM54 AM47 AM40 AM33 AM26 AM19 AM12 AM68 K5 AQ61 AQ54 AQ47 AQ40 AQ33 AQ26 AQ19 AQ12 AQ68 AA33 AU61 AU54 AU47 AU40 AU33 AU26 AU19 AU12 AU68 AQ5 AY61 AY54 AI26 AI19 AI12 AY5 AA26">
      <formula1>'6755_coolers'!A2:A137</formula1>
    </dataValidation>
    <dataValidation type="list" allowBlank="1" showInputMessage="1" showErrorMessage="1" sqref="AI1 C1 G1 AY1 O1 S1 W1 AA1 K1 AM1 AQ1 AU1">
      <formula1>'6755_tz'!A2:A97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T77 D1 H1 T1 X1 P1 L1 X77 AB1 AN1 AR1 H77 AJ77 AZ77 L77 AB77 P77 D77 AV1 AZ1 AV77 AF77 AJ1 AN77 AR77 AF1">
      <formula1>"ENABLE,DISABLE"</formula1>
    </dataValidation>
    <dataValidation type="list" allowBlank="1" showInputMessage="1" showErrorMessage="1" sqref="AA27:AA29 AY20:AY22 AE55:AE57 AE48:AE50 AE41:AE43 AE34:AE36 AE27:AE29 AE20:AE22 AE69:AE71 AE13:AE15 AE62:AE64 AA13:AA15 AI6:AI8 O13:O15 O69:O71 O20:O22 O27:O29 O34:O36 O41:O43 O6:O8 O48:O50 O55:O57 O62:O64 C69:C71 C34:C36 C6:C8 C48:C50 C55:C57 C62:C64 S13:S15 S69:S71 S20:S22 S27:S29 S34:S36 S41:S43 S6:S8 S48:S50 S55:S57 S62:S64 K20:K22 G69:G71 G20:G22 K69:K71 G27:G29 G34:G36 G41:G43 K27:K29 K34:K36 G6:G8 G48:G50 G55:G57 K41:K43 AY6:AY8 G62:G64 K48:K50 K55:K57 K62:K64 W13:W15 W69:W71 W20:W22 W27:W29 W34:W36 W41:W43 W6:W8 W48:W50 W55:W57 W62:W64 C27:C29 AU6:AU8 AM6:AM8 G13:G15 AA55:AA57 AA48:AA50 AA6:AA8 AA41:AA43 C20:C22 AY62:AY64 AA69:AA71 AY69:AY71 AA62:AA64 AI55:AI57 AI48:AI50 AI41:AI43 AI34:AI36 AY13:AY15 K13:K15 AI69:AI71 C41:C43 AI62:AI64 AE6:AE8 AM55:AM57 AM48:AM50 AM41:AM43 AM34:AM36 AM27:AM29 AM20:AM22 AM69:AM71 AM13:AM15 AM62:AM64 K6:K8 AQ55:AQ57 AQ48:AQ50 AQ41:AQ43 AQ34:AQ36 AQ27:AQ29 AQ20:AQ22 AQ69:AQ71 AQ13:AQ15 AQ62:AQ64 AA34:AA36 AU55:AU57 AU48:AU50 AU41:AU43 AU34:AU36 AU27:AU29 AU20:AU22 AU69:AU71 AU13:AU15 AU62:AU64 AQ6:AQ8 AY55:AY57 AY48:AY50 AY41:AY43 AY34:AY36 AY27:AY29 AI13:AI15 AI20:AI22 AI27:AI29">
      <formula1>"NULL, CPU0 loading(%), Wifi usage(Kb/s), &lt; Mobile usage(Kb/s), EXIT, mtktscpu, mtktsabb, mtktspmic, mtktsbattery, mtktspa, mtktswmt, mtktsAP, mtktsbuck, mtktsbattery2, mtktsxtal"</formula1>
    </dataValidation>
    <dataValidation type="list" allowBlank="1" showInputMessage="1" showErrorMessage="1" sqref="AE1">
      <formula1>'[2]6755_tz'!A2:A97</formula1>
    </dataValidation>
    <dataValidation type="list" allowBlank="1" showInputMessage="1" sqref="AE5">
      <formula1>'[2]6755_coolers'!A2:A134</formula1>
    </dataValidation>
    <dataValidation type="list" allowBlank="1" showInputMessage="1" sqref="AA5">
      <formula1>'[3]6755_coolers'!A2:A134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C12">
      <formula1>'[4]6755_coolers'!A2:A134</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85">
    <tabColor rgb="FFFF0000"/>
  </sheetPr>
  <dimension ref="A1:BA122"/>
  <sheetViews>
    <sheetView zoomScale="90" zoomScaleNormal="90" workbookViewId="0">
      <selection activeCell="T83" sqref="T83"/>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233</v>
      </c>
      <c r="AR1" s="4" t="s">
        <v>36</v>
      </c>
      <c r="AS1" s="6"/>
      <c r="AT1" s="2" t="s">
        <v>35</v>
      </c>
      <c r="AU1" s="3" t="s">
        <v>234</v>
      </c>
      <c r="AV1" s="4" t="s">
        <v>36</v>
      </c>
      <c r="AW1" s="6"/>
      <c r="AX1" s="2" t="s">
        <v>35</v>
      </c>
      <c r="AY1" s="3" t="s">
        <v>129</v>
      </c>
      <c r="AZ1" s="4" t="s">
        <v>36</v>
      </c>
      <c r="BA1" s="51"/>
    </row>
    <row r="2" spans="1:53" ht="30.75" customHeight="1">
      <c r="B2" s="2" t="s">
        <v>9</v>
      </c>
      <c r="C2" s="3">
        <v>2</v>
      </c>
      <c r="D2" s="8"/>
      <c r="E2" s="9"/>
      <c r="F2" s="2" t="s">
        <v>9</v>
      </c>
      <c r="G2" s="3">
        <v>1</v>
      </c>
      <c r="H2" s="8"/>
      <c r="I2" s="10"/>
      <c r="J2" s="2" t="s">
        <v>9</v>
      </c>
      <c r="K2" s="57">
        <v>4</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4</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44">
        <v>40000</v>
      </c>
      <c r="L10" s="43"/>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13">
        <v>110000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44">
        <v>0</v>
      </c>
      <c r="L11" s="43"/>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44" t="s">
        <v>113</v>
      </c>
      <c r="L12" s="43"/>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13" t="s">
        <v>253</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44" t="s">
        <v>68</v>
      </c>
      <c r="L13" s="43">
        <v>50000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131</v>
      </c>
      <c r="AJ13" s="14">
        <v>3000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44" t="s">
        <v>131</v>
      </c>
      <c r="L14" s="43">
        <v>1999</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44" t="s">
        <v>13</v>
      </c>
      <c r="L15" s="43">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44">
        <v>37000</v>
      </c>
      <c r="L17" s="43"/>
      <c r="M17" s="10"/>
      <c r="N17" s="12" t="s">
        <v>7</v>
      </c>
      <c r="O17" s="13">
        <v>0</v>
      </c>
      <c r="P17" s="14"/>
      <c r="Q17" s="10"/>
      <c r="R17" s="12" t="s">
        <v>7</v>
      </c>
      <c r="S17" s="13">
        <v>0</v>
      </c>
      <c r="T17" s="14"/>
      <c r="U17" s="10"/>
      <c r="V17" s="12" t="s">
        <v>7</v>
      </c>
      <c r="W17" s="13">
        <v>0</v>
      </c>
      <c r="X17" s="14"/>
      <c r="Y17" s="10"/>
      <c r="Z17" s="12" t="s">
        <v>7</v>
      </c>
      <c r="AA17" s="44">
        <v>57000</v>
      </c>
      <c r="AB17" s="14"/>
      <c r="AC17" s="10"/>
      <c r="AD17" s="12" t="s">
        <v>7</v>
      </c>
      <c r="AE17" s="13">
        <v>0</v>
      </c>
      <c r="AF17" s="14"/>
      <c r="AG17" s="10"/>
      <c r="AH17" s="12" t="s">
        <v>7</v>
      </c>
      <c r="AI17" s="13">
        <v>100000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44">
        <v>0</v>
      </c>
      <c r="L18" s="43"/>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44" t="s">
        <v>112</v>
      </c>
      <c r="L19" s="43"/>
      <c r="M19" s="10"/>
      <c r="N19" s="12" t="s">
        <v>5</v>
      </c>
      <c r="O19" s="13" t="s">
        <v>4</v>
      </c>
      <c r="P19" s="14"/>
      <c r="Q19" s="10"/>
      <c r="R19" s="12" t="s">
        <v>5</v>
      </c>
      <c r="S19" s="13" t="s">
        <v>4</v>
      </c>
      <c r="T19" s="14"/>
      <c r="U19" s="10"/>
      <c r="V19" s="12" t="s">
        <v>5</v>
      </c>
      <c r="W19" s="13" t="s">
        <v>4</v>
      </c>
      <c r="X19" s="14"/>
      <c r="Y19" s="10"/>
      <c r="Z19" s="12" t="s">
        <v>5</v>
      </c>
      <c r="AA19" s="44" t="s">
        <v>265</v>
      </c>
      <c r="AB19" s="14"/>
      <c r="AC19" s="10"/>
      <c r="AD19" s="12" t="s">
        <v>5</v>
      </c>
      <c r="AE19" s="13" t="s">
        <v>4</v>
      </c>
      <c r="AF19" s="14"/>
      <c r="AG19" s="10"/>
      <c r="AH19" s="12" t="s">
        <v>5</v>
      </c>
      <c r="AI19" s="13" t="s">
        <v>251</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44" t="s">
        <v>68</v>
      </c>
      <c r="L20" s="43">
        <v>47000</v>
      </c>
      <c r="M20" s="10"/>
      <c r="N20" s="12" t="s">
        <v>11</v>
      </c>
      <c r="O20" s="15" t="s">
        <v>13</v>
      </c>
      <c r="P20" s="14">
        <v>0</v>
      </c>
      <c r="Q20" s="10"/>
      <c r="R20" s="12" t="s">
        <v>11</v>
      </c>
      <c r="S20" s="15" t="s">
        <v>13</v>
      </c>
      <c r="T20" s="14">
        <v>0</v>
      </c>
      <c r="U20" s="10"/>
      <c r="V20" s="12" t="s">
        <v>11</v>
      </c>
      <c r="W20" s="15" t="s">
        <v>13</v>
      </c>
      <c r="X20" s="14">
        <v>0</v>
      </c>
      <c r="Y20" s="10"/>
      <c r="Z20" s="12" t="s">
        <v>11</v>
      </c>
      <c r="AA20" s="44" t="s">
        <v>131</v>
      </c>
      <c r="AB20" s="43">
        <v>5000</v>
      </c>
      <c r="AC20" s="10"/>
      <c r="AD20" s="12" t="s">
        <v>11</v>
      </c>
      <c r="AE20" s="15" t="s">
        <v>13</v>
      </c>
      <c r="AF20" s="14">
        <v>0</v>
      </c>
      <c r="AG20" s="10"/>
      <c r="AH20" s="12" t="s">
        <v>11</v>
      </c>
      <c r="AI20" s="15" t="s">
        <v>131</v>
      </c>
      <c r="AJ20" s="14">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44" t="s">
        <v>131</v>
      </c>
      <c r="L21" s="43">
        <v>1999</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6">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44" t="s">
        <v>13</v>
      </c>
      <c r="L22" s="43">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44">
        <v>35000</v>
      </c>
      <c r="L24" s="43"/>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90000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44">
        <v>0</v>
      </c>
      <c r="L25" s="43"/>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44" t="s">
        <v>33</v>
      </c>
      <c r="L26" s="43"/>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257</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44" t="s">
        <v>68</v>
      </c>
      <c r="L27" s="43">
        <v>45000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131</v>
      </c>
      <c r="AJ27" s="14">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44" t="s">
        <v>131</v>
      </c>
      <c r="L28" s="43">
        <v>1999</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44" t="s">
        <v>13</v>
      </c>
      <c r="L29" s="43">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3"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3" s="7" customFormat="1" ht="15.7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s="7" customFormat="1" ht="15.75">
      <c r="A77" s="51"/>
      <c r="B77" s="35" t="s">
        <v>119</v>
      </c>
      <c r="C77" s="36" t="s">
        <v>68</v>
      </c>
      <c r="D77" s="4" t="s">
        <v>36</v>
      </c>
      <c r="E77" s="51"/>
      <c r="F77" s="35" t="s">
        <v>119</v>
      </c>
      <c r="G77" s="36" t="s">
        <v>132</v>
      </c>
      <c r="H77" s="4" t="s">
        <v>36</v>
      </c>
      <c r="I77" s="51"/>
      <c r="J77" s="35" t="s">
        <v>5</v>
      </c>
      <c r="K77" s="47" t="s">
        <v>33</v>
      </c>
      <c r="L77" s="48" t="s">
        <v>36</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row>
    <row r="78" spans="1:53" s="7" customFormat="1" ht="15.75">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row>
    <row r="79" spans="1:53" s="7" customFormat="1" ht="15.75">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235</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row>
    <row r="80" spans="1:53" s="7" customFormat="1" ht="15.75">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260</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245</v>
      </c>
      <c r="BA80" s="51"/>
    </row>
    <row r="81" spans="1:53" s="7" customFormat="1" ht="15.75">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259</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247</v>
      </c>
      <c r="BA81" s="51"/>
    </row>
    <row r="82" spans="1:53" s="7" customFormat="1" ht="15.75">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227</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237</v>
      </c>
      <c r="AZ82" s="49" t="s">
        <v>244</v>
      </c>
      <c r="BA82" s="51"/>
    </row>
    <row r="83" spans="1:53" s="7" customFormat="1" ht="15.75">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250</v>
      </c>
      <c r="U83" s="51"/>
      <c r="V83" s="35" t="s">
        <v>38</v>
      </c>
      <c r="W83" s="36" t="s">
        <v>55</v>
      </c>
      <c r="X83" s="38" t="s">
        <v>239</v>
      </c>
      <c r="Y83" s="51"/>
      <c r="Z83" s="35" t="s">
        <v>38</v>
      </c>
      <c r="AA83" s="36" t="s">
        <v>55</v>
      </c>
      <c r="AB83" s="38" t="s">
        <v>239</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240</v>
      </c>
      <c r="BA83" s="51"/>
    </row>
    <row r="84" spans="1:53"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241</v>
      </c>
      <c r="Y84" s="51"/>
      <c r="Z84" s="35" t="s">
        <v>38</v>
      </c>
      <c r="AA84" s="36" t="s">
        <v>56</v>
      </c>
      <c r="AB84" s="38" t="s">
        <v>241</v>
      </c>
      <c r="AC84" s="51"/>
      <c r="AD84" s="35" t="s">
        <v>38</v>
      </c>
      <c r="AE84" s="36" t="s">
        <v>158</v>
      </c>
      <c r="AF84" s="38" t="s">
        <v>159</v>
      </c>
      <c r="AG84" s="51"/>
      <c r="AH84" s="35" t="s">
        <v>38</v>
      </c>
      <c r="AI84" s="36" t="s">
        <v>160</v>
      </c>
      <c r="AJ84" s="47">
        <v>6000</v>
      </c>
      <c r="AK84" s="51"/>
      <c r="AL84" s="51"/>
      <c r="AM84" s="51"/>
      <c r="AN84" s="51"/>
      <c r="AO84" s="51"/>
      <c r="AP84" s="51"/>
      <c r="AQ84" s="51"/>
      <c r="AR84" s="51"/>
      <c r="AS84" s="51"/>
      <c r="AT84" s="51"/>
      <c r="AU84" s="51"/>
      <c r="AV84" s="51"/>
      <c r="AW84" s="51"/>
      <c r="AX84" s="35" t="s">
        <v>38</v>
      </c>
      <c r="AY84" s="47" t="s">
        <v>200</v>
      </c>
      <c r="AZ84" s="49" t="s">
        <v>264</v>
      </c>
      <c r="BA84" s="51"/>
    </row>
    <row r="85" spans="1:53"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243</v>
      </c>
      <c r="U85" s="51"/>
      <c r="V85" s="35" t="s">
        <v>38</v>
      </c>
      <c r="W85" s="36" t="s">
        <v>59</v>
      </c>
      <c r="X85" s="38" t="s">
        <v>141</v>
      </c>
      <c r="Y85" s="51"/>
      <c r="Z85" s="35" t="s">
        <v>38</v>
      </c>
      <c r="AA85" s="36" t="s">
        <v>59</v>
      </c>
      <c r="AB85" s="38" t="s">
        <v>141</v>
      </c>
      <c r="AC85" s="51"/>
      <c r="AD85" s="51"/>
      <c r="AE85" s="51"/>
      <c r="AF85" s="51"/>
      <c r="AG85" s="51"/>
      <c r="AH85" s="35" t="s">
        <v>38</v>
      </c>
      <c r="AI85" s="36" t="s">
        <v>255</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3"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241</v>
      </c>
      <c r="U86" s="51"/>
      <c r="V86" s="35" t="s">
        <v>38</v>
      </c>
      <c r="W86" s="36" t="s">
        <v>60</v>
      </c>
      <c r="X86" s="38" t="s">
        <v>138</v>
      </c>
      <c r="Y86" s="51"/>
      <c r="Z86" s="35" t="s">
        <v>38</v>
      </c>
      <c r="AA86" s="36" t="s">
        <v>60</v>
      </c>
      <c r="AB86" s="38" t="s">
        <v>138</v>
      </c>
      <c r="AC86" s="51"/>
      <c r="AD86" s="51"/>
      <c r="AE86" s="51"/>
      <c r="AF86" s="51"/>
      <c r="AG86" s="51"/>
      <c r="AH86" s="35" t="s">
        <v>38</v>
      </c>
      <c r="AI86" s="36" t="s">
        <v>256</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3"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3"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3"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226</v>
      </c>
      <c r="AZ89" s="49" t="s">
        <v>232</v>
      </c>
    </row>
    <row r="90" spans="1:53"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228</v>
      </c>
      <c r="AZ90" s="49" t="s">
        <v>232</v>
      </c>
    </row>
    <row r="91" spans="1:53"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229</v>
      </c>
      <c r="AZ91" s="49" t="s">
        <v>230</v>
      </c>
    </row>
    <row r="92" spans="1:53"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3"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3"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3"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3"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4">
    <dataValidation type="list" allowBlank="1" showInputMessage="1" sqref="C12">
      <formula1>'[4]6755_coolers'!A2:A134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AA5">
      <formula1>'[3]6755_coolers'!A2:A134</formula1>
    </dataValidation>
    <dataValidation type="list" allowBlank="1" showInputMessage="1" sqref="AE5">
      <formula1>'[2]6755_coolers'!A2:A134</formula1>
    </dataValidation>
    <dataValidation type="list" allowBlank="1" showInputMessage="1" showErrorMessage="1" sqref="AE1">
      <formula1>'[2]6755_tz'!A2:A97</formula1>
    </dataValidation>
    <dataValidation type="list" allowBlank="1" showInputMessage="1" showErrorMessage="1" sqref="K20:K22 AY20:AY22 AE55:AE57 AE48:AE50 AE41:AE43 AE34:AE36 AE27:AE29 AE20:AE22 AE69:AE71 AE13:AE15 AE62:AE64 AA13:AA15 AI6:AI8 O13:O15 O69:O71 O20:O22 O27:O29 O34:O36 O41:O43 O6:O8 O48:O50 O55:O57 O62:O64 C69:C71 C34:C36 C6:C8 C48:C50 C55:C57 C62:C64 S13:S15 S69:S71 S20:S22 S27:S29 S34:S36 S41:S43 S6:S8 S48:S50 S55:S57 S62:S64 AI20:AI22 G69:G71 G20:G22 K69:K71 G27:G29 G34:G36 G41:G43 AI27:AI29 K34:K36 G6:G8 G48:G50 G55:G57 K41:K43 K27:K29 G62:G64 K48:K50 K55:K57 K62:K64 W13:W15 W69:W71 W20:W22 W27:W29 W34:W36 W41:W43 W6:W8 W48:W50 W55:W57 W62:W64 C27:C29 AU6:AU8 AM6:AM8 G13:G15 AA55:AA57 AA48:AA50 AA6:AA8 AA41:AA43 C20:C22 AY62:AY64 AA69:AA71 AY69:AY71 AA62:AA64 AI55:AI57 AI48:AI50 AI41:AI43 AI34:AI36 AY13:AY15 AI13:AI15 AI69:AI71 C41:C43 AI62:AI64 AE6:AE8 AM55:AM57 AM48:AM50 AM41:AM43 AM34:AM36 AM27:AM29 AM20:AM22 AM69:AM71 AM13:AM15 AM62:AM64 K6:K8 AQ55:AQ57 AQ48:AQ50 AQ41:AQ43 AQ34:AQ36 AQ27:AQ29 AQ20:AQ22 AQ69:AQ71 AQ13:AQ15 AQ62:AQ64 AA34:AA36 AU55:AU57 AU48:AU50 AU41:AU43 AU34:AU36 AU27:AU29 AU20:AU22 AU69:AU71 AU13:AU15 AU62:AU64 AQ6:AQ8 AY55:AY57 AY48:AY50 AY41:AY43 AY34:AY36 AY27:AY29 K13:K15 AY6:AY8 AA27:AA29">
      <formula1>"NULL, CPU0 loading(%), Wifi usage(Kb/s), &lt; Mobile usage(Kb/s), EXIT, mtktscpu, mtktsabb, mtktspmic, mtktsbattery, mtktspa, mtktswmt, mtktsAP, mtktsbuck, mtktsbattery2, mtktsxtal"</formula1>
    </dataValidation>
    <dataValidation type="list" allowBlank="1" showInputMessage="1" showErrorMessage="1" sqref="T77 D1 H1 T1 X1 P1 L1 X77 AB1 AN1 AR1 H77 AJ77 AZ77 AF1 AB77 P77 D77 AV1 AZ1 AV77 AF77 AJ1 AN77 AR77 L77">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0, off (default)_x000a_1, on" sqref="AJ78 L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I1 C1 G1 AY1 O1 S1 W1 AA1 K1 AM1 AQ1 AU1">
      <formula1>'6755_tz'!A2:A97</formula1>
    </dataValidation>
    <dataValidation type="list" allowBlank="1" showInputMessage="1" sqref="AE61 AE47 AE40 AE33 AE26 AE19 AE12 AE68 AA12 AU5 C5 C33 C47 C54 C61 C68 AI5 G5 G19 G26 G33 G40 G47 G54 G61 G68 AY19 AI26 AY26 AI19 K33 K40 K47 K54 K61 K68 O12 O5 O19 O26 O33 O40 O47 O54 O61 O68 S12 S5 S19 S26 S33 S40 S47 S54 S61 S68 W12 W5 W19 W26 W33 W40 W47 W54 W61 W68 C40 AY47 G12 AA68 AA61 AA54 AA47 AA40 C19 AY12 AY68 C26 AY40 AI61 AI54 AI47 AI40 AI33 AY33 AI12 AE54 AI68 AM5 AM61 AM54 AM47 AM40 AM33 AM26 AM19 AM12 AM68 K5 AQ61 AQ54 AQ47 AQ40 AQ33 AQ26 AQ19 AQ12 AQ68 AA33 AU61 AU54 AU47 AU40 AU33 AU26 AU19 AU12 AU68 AQ5 AY61 AY54 K12 K26 K19 AY5 AA26">
      <formula1>'6755_coolers'!A2:A137</formula1>
    </dataValidation>
    <dataValidation type="list" allowBlank="1" showInputMessage="1" sqref="AA19">
      <formula1>'[1]6735_coolers'!A2:A134</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84">
    <tabColor rgb="FFFF0000"/>
  </sheetPr>
  <dimension ref="A1:BA122"/>
  <sheetViews>
    <sheetView zoomScale="90" zoomScaleNormal="90" workbookViewId="0">
      <selection activeCell="AA2" sqref="AA2"/>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233</v>
      </c>
      <c r="AR1" s="4" t="s">
        <v>36</v>
      </c>
      <c r="AS1" s="6"/>
      <c r="AT1" s="2" t="s">
        <v>35</v>
      </c>
      <c r="AU1" s="3" t="s">
        <v>234</v>
      </c>
      <c r="AV1" s="4" t="s">
        <v>36</v>
      </c>
      <c r="AW1" s="6"/>
      <c r="AX1" s="2" t="s">
        <v>35</v>
      </c>
      <c r="AY1" s="3" t="s">
        <v>129</v>
      </c>
      <c r="AZ1" s="4" t="s">
        <v>36</v>
      </c>
      <c r="BA1" s="51"/>
    </row>
    <row r="2" spans="1:53" ht="30.75" customHeight="1">
      <c r="B2" s="2" t="s">
        <v>9</v>
      </c>
      <c r="C2" s="3">
        <v>2</v>
      </c>
      <c r="D2" s="8"/>
      <c r="E2" s="9"/>
      <c r="F2" s="2" t="s">
        <v>9</v>
      </c>
      <c r="G2" s="3">
        <v>1</v>
      </c>
      <c r="H2" s="8"/>
      <c r="I2" s="10"/>
      <c r="J2" s="2" t="s">
        <v>9</v>
      </c>
      <c r="K2" s="57">
        <v>4</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4</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44">
        <v>40000</v>
      </c>
      <c r="L10" s="43"/>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13">
        <v>110000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44">
        <v>0</v>
      </c>
      <c r="L11" s="43"/>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44" t="s">
        <v>113</v>
      </c>
      <c r="L12" s="43"/>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13" t="s">
        <v>253</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44" t="s">
        <v>68</v>
      </c>
      <c r="L13" s="43">
        <v>50000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131</v>
      </c>
      <c r="AJ13" s="14">
        <v>3000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44" t="s">
        <v>131</v>
      </c>
      <c r="L14" s="43">
        <v>1999</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44" t="s">
        <v>13</v>
      </c>
      <c r="L15" s="43">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44">
        <v>37000</v>
      </c>
      <c r="L17" s="43"/>
      <c r="M17" s="10"/>
      <c r="N17" s="12" t="s">
        <v>7</v>
      </c>
      <c r="O17" s="13">
        <v>0</v>
      </c>
      <c r="P17" s="14"/>
      <c r="Q17" s="10"/>
      <c r="R17" s="12" t="s">
        <v>7</v>
      </c>
      <c r="S17" s="13">
        <v>0</v>
      </c>
      <c r="T17" s="14"/>
      <c r="U17" s="10"/>
      <c r="V17" s="12" t="s">
        <v>7</v>
      </c>
      <c r="W17" s="13">
        <v>0</v>
      </c>
      <c r="X17" s="14"/>
      <c r="Y17" s="10"/>
      <c r="Z17" s="12" t="s">
        <v>7</v>
      </c>
      <c r="AA17" s="44">
        <v>57000</v>
      </c>
      <c r="AB17" s="14"/>
      <c r="AC17" s="10"/>
      <c r="AD17" s="12" t="s">
        <v>7</v>
      </c>
      <c r="AE17" s="13">
        <v>0</v>
      </c>
      <c r="AF17" s="14"/>
      <c r="AG17" s="10"/>
      <c r="AH17" s="12" t="s">
        <v>7</v>
      </c>
      <c r="AI17" s="13">
        <v>100000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44">
        <v>0</v>
      </c>
      <c r="L18" s="43"/>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44" t="s">
        <v>112</v>
      </c>
      <c r="L19" s="43"/>
      <c r="M19" s="10"/>
      <c r="N19" s="12" t="s">
        <v>5</v>
      </c>
      <c r="O19" s="13" t="s">
        <v>4</v>
      </c>
      <c r="P19" s="14"/>
      <c r="Q19" s="10"/>
      <c r="R19" s="12" t="s">
        <v>5</v>
      </c>
      <c r="S19" s="13" t="s">
        <v>4</v>
      </c>
      <c r="T19" s="14"/>
      <c r="U19" s="10"/>
      <c r="V19" s="12" t="s">
        <v>5</v>
      </c>
      <c r="W19" s="13" t="s">
        <v>4</v>
      </c>
      <c r="X19" s="14"/>
      <c r="Y19" s="10"/>
      <c r="Z19" s="12" t="s">
        <v>5</v>
      </c>
      <c r="AA19" s="44" t="s">
        <v>265</v>
      </c>
      <c r="AB19" s="14"/>
      <c r="AC19" s="10"/>
      <c r="AD19" s="12" t="s">
        <v>5</v>
      </c>
      <c r="AE19" s="13" t="s">
        <v>4</v>
      </c>
      <c r="AF19" s="14"/>
      <c r="AG19" s="10"/>
      <c r="AH19" s="12" t="s">
        <v>5</v>
      </c>
      <c r="AI19" s="13" t="s">
        <v>251</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44" t="s">
        <v>68</v>
      </c>
      <c r="L20" s="43">
        <v>47000</v>
      </c>
      <c r="M20" s="10"/>
      <c r="N20" s="12" t="s">
        <v>11</v>
      </c>
      <c r="O20" s="15" t="s">
        <v>13</v>
      </c>
      <c r="P20" s="14">
        <v>0</v>
      </c>
      <c r="Q20" s="10"/>
      <c r="R20" s="12" t="s">
        <v>11</v>
      </c>
      <c r="S20" s="15" t="s">
        <v>13</v>
      </c>
      <c r="T20" s="14">
        <v>0</v>
      </c>
      <c r="U20" s="10"/>
      <c r="V20" s="12" t="s">
        <v>11</v>
      </c>
      <c r="W20" s="15" t="s">
        <v>13</v>
      </c>
      <c r="X20" s="14">
        <v>0</v>
      </c>
      <c r="Y20" s="10"/>
      <c r="Z20" s="12" t="s">
        <v>11</v>
      </c>
      <c r="AA20" s="44" t="s">
        <v>131</v>
      </c>
      <c r="AB20" s="43">
        <v>5000</v>
      </c>
      <c r="AC20" s="10"/>
      <c r="AD20" s="12" t="s">
        <v>11</v>
      </c>
      <c r="AE20" s="15" t="s">
        <v>13</v>
      </c>
      <c r="AF20" s="14">
        <v>0</v>
      </c>
      <c r="AG20" s="10"/>
      <c r="AH20" s="12" t="s">
        <v>11</v>
      </c>
      <c r="AI20" s="15" t="s">
        <v>131</v>
      </c>
      <c r="AJ20" s="14">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44" t="s">
        <v>131</v>
      </c>
      <c r="L21" s="43">
        <v>1999</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6">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44" t="s">
        <v>13</v>
      </c>
      <c r="L22" s="43">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44">
        <v>35000</v>
      </c>
      <c r="L24" s="43"/>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90000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44">
        <v>0</v>
      </c>
      <c r="L25" s="43"/>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44" t="s">
        <v>33</v>
      </c>
      <c r="L26" s="43"/>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257</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44" t="s">
        <v>68</v>
      </c>
      <c r="L27" s="43">
        <v>45000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131</v>
      </c>
      <c r="AJ27" s="14">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44" t="s">
        <v>131</v>
      </c>
      <c r="L28" s="43">
        <v>1999</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44" t="s">
        <v>13</v>
      </c>
      <c r="L29" s="43">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3"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3" s="7" customFormat="1" ht="15.7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s="7" customFormat="1" ht="15.75">
      <c r="A77" s="51"/>
      <c r="B77" s="35" t="s">
        <v>119</v>
      </c>
      <c r="C77" s="36" t="s">
        <v>68</v>
      </c>
      <c r="D77" s="4" t="s">
        <v>36</v>
      </c>
      <c r="E77" s="51"/>
      <c r="F77" s="35" t="s">
        <v>119</v>
      </c>
      <c r="G77" s="36" t="s">
        <v>132</v>
      </c>
      <c r="H77" s="4" t="s">
        <v>36</v>
      </c>
      <c r="I77" s="51"/>
      <c r="J77" s="35" t="s">
        <v>5</v>
      </c>
      <c r="K77" s="47" t="s">
        <v>33</v>
      </c>
      <c r="L77" s="48" t="s">
        <v>36</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row>
    <row r="78" spans="1:53" s="7" customFormat="1" ht="15.75">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row>
    <row r="79" spans="1:53" s="7" customFormat="1" ht="15.75">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235</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row>
    <row r="80" spans="1:53" s="7" customFormat="1" ht="15.75">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260</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245</v>
      </c>
      <c r="BA80" s="51"/>
    </row>
    <row r="81" spans="1:53" s="7" customFormat="1" ht="15.75">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261</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236</v>
      </c>
      <c r="BA81" s="51"/>
    </row>
    <row r="82" spans="1:53" s="7" customFormat="1" ht="15.75">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227</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237</v>
      </c>
      <c r="AZ82" s="49" t="s">
        <v>248</v>
      </c>
      <c r="BA82" s="51"/>
    </row>
    <row r="83" spans="1:53" s="7" customFormat="1" ht="15.75">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246</v>
      </c>
      <c r="U83" s="51"/>
      <c r="V83" s="35" t="s">
        <v>38</v>
      </c>
      <c r="W83" s="36" t="s">
        <v>55</v>
      </c>
      <c r="X83" s="38" t="s">
        <v>239</v>
      </c>
      <c r="Y83" s="51"/>
      <c r="Z83" s="35" t="s">
        <v>38</v>
      </c>
      <c r="AA83" s="36" t="s">
        <v>55</v>
      </c>
      <c r="AB83" s="38" t="s">
        <v>239</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240</v>
      </c>
      <c r="BA83" s="51"/>
    </row>
    <row r="84" spans="1:53"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241</v>
      </c>
      <c r="Y84" s="51"/>
      <c r="Z84" s="35" t="s">
        <v>38</v>
      </c>
      <c r="AA84" s="36" t="s">
        <v>56</v>
      </c>
      <c r="AB84" s="38" t="s">
        <v>241</v>
      </c>
      <c r="AC84" s="51"/>
      <c r="AD84" s="35" t="s">
        <v>38</v>
      </c>
      <c r="AE84" s="36" t="s">
        <v>158</v>
      </c>
      <c r="AF84" s="38" t="s">
        <v>159</v>
      </c>
      <c r="AG84" s="51"/>
      <c r="AH84" s="35" t="s">
        <v>38</v>
      </c>
      <c r="AI84" s="36" t="s">
        <v>160</v>
      </c>
      <c r="AJ84" s="47">
        <v>6000</v>
      </c>
      <c r="AK84" s="51"/>
      <c r="AL84" s="51"/>
      <c r="AM84" s="51"/>
      <c r="AN84" s="51"/>
      <c r="AO84" s="51"/>
      <c r="AP84" s="51"/>
      <c r="AQ84" s="51"/>
      <c r="AR84" s="51"/>
      <c r="AS84" s="51"/>
      <c r="AT84" s="51"/>
      <c r="AU84" s="51"/>
      <c r="AV84" s="51"/>
      <c r="AW84" s="51"/>
      <c r="AX84" s="35" t="s">
        <v>38</v>
      </c>
      <c r="AY84" s="47" t="s">
        <v>200</v>
      </c>
      <c r="AZ84" s="49" t="s">
        <v>264</v>
      </c>
      <c r="BA84" s="51"/>
    </row>
    <row r="85" spans="1:53"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243</v>
      </c>
      <c r="U85" s="51"/>
      <c r="V85" s="35" t="s">
        <v>38</v>
      </c>
      <c r="W85" s="36" t="s">
        <v>59</v>
      </c>
      <c r="X85" s="38" t="s">
        <v>141</v>
      </c>
      <c r="Y85" s="51"/>
      <c r="Z85" s="35" t="s">
        <v>38</v>
      </c>
      <c r="AA85" s="36" t="s">
        <v>59</v>
      </c>
      <c r="AB85" s="38" t="s">
        <v>141</v>
      </c>
      <c r="AC85" s="51"/>
      <c r="AD85" s="51"/>
      <c r="AE85" s="51"/>
      <c r="AF85" s="51"/>
      <c r="AG85" s="51"/>
      <c r="AH85" s="35" t="s">
        <v>38</v>
      </c>
      <c r="AI85" s="36" t="s">
        <v>255</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3"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241</v>
      </c>
      <c r="U86" s="51"/>
      <c r="V86" s="35" t="s">
        <v>38</v>
      </c>
      <c r="W86" s="36" t="s">
        <v>60</v>
      </c>
      <c r="X86" s="38" t="s">
        <v>138</v>
      </c>
      <c r="Y86" s="51"/>
      <c r="Z86" s="35" t="s">
        <v>38</v>
      </c>
      <c r="AA86" s="36" t="s">
        <v>60</v>
      </c>
      <c r="AB86" s="38" t="s">
        <v>138</v>
      </c>
      <c r="AC86" s="51"/>
      <c r="AD86" s="51"/>
      <c r="AE86" s="51"/>
      <c r="AF86" s="51"/>
      <c r="AG86" s="51"/>
      <c r="AH86" s="35" t="s">
        <v>38</v>
      </c>
      <c r="AI86" s="36" t="s">
        <v>256</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3"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3"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3"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226</v>
      </c>
      <c r="AZ89" s="49" t="s">
        <v>232</v>
      </c>
    </row>
    <row r="90" spans="1:53"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228</v>
      </c>
      <c r="AZ90" s="49" t="s">
        <v>232</v>
      </c>
    </row>
    <row r="91" spans="1:53"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229</v>
      </c>
      <c r="AZ91" s="49" t="s">
        <v>230</v>
      </c>
    </row>
    <row r="92" spans="1:53"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3"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3"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3"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3"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4">
    <dataValidation type="list" allowBlank="1" showInputMessage="1" sqref="C12">
      <formula1>'[4]6755_coolers'!A2:A134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AA5">
      <formula1>'[3]6755_coolers'!A2:A134</formula1>
    </dataValidation>
    <dataValidation type="list" allowBlank="1" showInputMessage="1" sqref="AE5">
      <formula1>'[2]6755_coolers'!A2:A134</formula1>
    </dataValidation>
    <dataValidation type="list" allowBlank="1" showInputMessage="1" showErrorMessage="1" sqref="AE1">
      <formula1>'[2]6755_tz'!A2:A97</formula1>
    </dataValidation>
    <dataValidation type="list" allowBlank="1" showInputMessage="1" showErrorMessage="1" sqref="K20:K22 AY20:AY22 AE55:AE57 AE48:AE50 AE41:AE43 AE34:AE36 AE27:AE29 AE20:AE22 AE69:AE71 AE13:AE15 AE62:AE64 AA13:AA15 AI6:AI8 O13:O15 O69:O71 O20:O22 O27:O29 O34:O36 O41:O43 O6:O8 O48:O50 O55:O57 O62:O64 C69:C71 C34:C36 C6:C8 C48:C50 C55:C57 C62:C64 S13:S15 S69:S71 S20:S22 S27:S29 S34:S36 S41:S43 S6:S8 S48:S50 S55:S57 S62:S64 AI20:AI22 G69:G71 G20:G22 K69:K71 G27:G29 G34:G36 G41:G43 AI27:AI29 K34:K36 G6:G8 G48:G50 G55:G57 K41:K43 K27:K29 G62:G64 K48:K50 K55:K57 K62:K64 W13:W15 W69:W71 W20:W22 W27:W29 W34:W36 W41:W43 W6:W8 W48:W50 W55:W57 W62:W64 C27:C29 AU6:AU8 AM6:AM8 G13:G15 AA55:AA57 AA48:AA50 AA6:AA8 AA41:AA43 C20:C22 AY62:AY64 AA69:AA71 AY69:AY71 AA62:AA64 AI55:AI57 AI48:AI50 AI41:AI43 AI34:AI36 AY13:AY15 AI13:AI15 AI69:AI71 C41:C43 AI62:AI64 AE6:AE8 AM55:AM57 AM48:AM50 AM41:AM43 AM34:AM36 AM27:AM29 AM20:AM22 AM69:AM71 AM13:AM15 AM62:AM64 K6:K8 AQ55:AQ57 AQ48:AQ50 AQ41:AQ43 AQ34:AQ36 AQ27:AQ29 AQ20:AQ22 AQ69:AQ71 AQ13:AQ15 AQ62:AQ64 AA34:AA36 AU55:AU57 AU48:AU50 AU41:AU43 AU34:AU36 AU27:AU29 AU20:AU22 AU69:AU71 AU13:AU15 AU62:AU64 AQ6:AQ8 AY55:AY57 AY48:AY50 AY41:AY43 AY34:AY36 AY27:AY29 K13:K15 AY6:AY8 AA27:AA29">
      <formula1>"NULL, CPU0 loading(%), Wifi usage(Kb/s), &lt; Mobile usage(Kb/s), EXIT, mtktscpu, mtktsabb, mtktspmic, mtktsbattery, mtktspa, mtktswmt, mtktsAP, mtktsbuck, mtktsbattery2, mtktsxtal"</formula1>
    </dataValidation>
    <dataValidation type="list" allowBlank="1" showInputMessage="1" showErrorMessage="1" sqref="T77 D1 H1 T1 X1 P1 L1 X77 AB1 AN1 AR1 H77 AJ77 AZ77 AF1 AB77 P77 D77 AV1 AZ1 AV77 AF77 AJ1 AN77 AR77 L77">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0, off (default)_x000a_1, on" sqref="AJ78 L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I1 C1 G1 AY1 O1 S1 W1 AA1 K1 AM1 AQ1 AU1">
      <formula1>'6755_tz'!A2:A97</formula1>
    </dataValidation>
    <dataValidation type="list" allowBlank="1" showInputMessage="1" sqref="AE61 AE47 AE40 AE33 AE26 AE19 AE12 AE68 AA12 AU5 C5 C33 C47 C54 C61 C68 AI5 G5 G19 G26 G33 G40 G47 G54 G61 G68 AY19 AI26 AY26 AI19 K33 K40 K47 K54 K61 K68 O12 O5 O19 O26 O33 O40 O47 O54 O61 O68 S12 S5 S19 S26 S33 S40 S47 S54 S61 S68 W12 W5 W19 W26 W33 W40 W47 W54 W61 W68 C40 AY47 G12 AA68 AA61 AA54 AA47 AA40 C19 AY12 AY68 C26 AY40 AI61 AI54 AI47 AI40 AI33 AY33 AI12 AE54 AI68 AM5 AM61 AM54 AM47 AM40 AM33 AM26 AM19 AM12 AM68 K5 AQ61 AQ54 AQ47 AQ40 AQ33 AQ26 AQ19 AQ12 AQ68 AA33 AU61 AU54 AU47 AU40 AU33 AU26 AU19 AU12 AU68 AQ5 AY61 AY54 K12 K26 K19 AY5 AA26">
      <formula1>'6755_coolers'!A2:A137</formula1>
    </dataValidation>
    <dataValidation type="list" allowBlank="1" showInputMessage="1" sqref="AA19">
      <formula1>'[1]6735_coolers'!A2:A134</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83">
    <tabColor rgb="FFFF0000"/>
  </sheetPr>
  <dimension ref="A1:BA122"/>
  <sheetViews>
    <sheetView zoomScale="90" zoomScaleNormal="90" workbookViewId="0">
      <selection activeCell="AA2" sqref="AA2"/>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233</v>
      </c>
      <c r="AR1" s="4" t="s">
        <v>36</v>
      </c>
      <c r="AS1" s="6"/>
      <c r="AT1" s="2" t="s">
        <v>35</v>
      </c>
      <c r="AU1" s="3" t="s">
        <v>234</v>
      </c>
      <c r="AV1" s="4" t="s">
        <v>36</v>
      </c>
      <c r="AW1" s="6"/>
      <c r="AX1" s="2" t="s">
        <v>35</v>
      </c>
      <c r="AY1" s="3" t="s">
        <v>129</v>
      </c>
      <c r="AZ1" s="4" t="s">
        <v>36</v>
      </c>
      <c r="BA1" s="51"/>
    </row>
    <row r="2" spans="1:53" ht="30.75" customHeight="1">
      <c r="B2" s="2" t="s">
        <v>9</v>
      </c>
      <c r="C2" s="3">
        <v>2</v>
      </c>
      <c r="D2" s="8"/>
      <c r="E2" s="9"/>
      <c r="F2" s="2" t="s">
        <v>9</v>
      </c>
      <c r="G2" s="3">
        <v>1</v>
      </c>
      <c r="H2" s="8"/>
      <c r="I2" s="10"/>
      <c r="J2" s="2" t="s">
        <v>9</v>
      </c>
      <c r="K2" s="57">
        <v>4</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4</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44">
        <v>40000</v>
      </c>
      <c r="L10" s="43"/>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13">
        <v>110000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44">
        <v>0</v>
      </c>
      <c r="L11" s="43"/>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44" t="s">
        <v>113</v>
      </c>
      <c r="L12" s="43"/>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13" t="s">
        <v>253</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44" t="s">
        <v>68</v>
      </c>
      <c r="L13" s="43">
        <v>50000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131</v>
      </c>
      <c r="AJ13" s="14">
        <v>3000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44" t="s">
        <v>131</v>
      </c>
      <c r="L14" s="43">
        <v>1999</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44" t="s">
        <v>13</v>
      </c>
      <c r="L15" s="43">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44">
        <v>37000</v>
      </c>
      <c r="L17" s="43"/>
      <c r="M17" s="10"/>
      <c r="N17" s="12" t="s">
        <v>7</v>
      </c>
      <c r="O17" s="13">
        <v>0</v>
      </c>
      <c r="P17" s="14"/>
      <c r="Q17" s="10"/>
      <c r="R17" s="12" t="s">
        <v>7</v>
      </c>
      <c r="S17" s="13">
        <v>0</v>
      </c>
      <c r="T17" s="14"/>
      <c r="U17" s="10"/>
      <c r="V17" s="12" t="s">
        <v>7</v>
      </c>
      <c r="W17" s="13">
        <v>0</v>
      </c>
      <c r="X17" s="14"/>
      <c r="Y17" s="10"/>
      <c r="Z17" s="12" t="s">
        <v>7</v>
      </c>
      <c r="AA17" s="44">
        <v>57000</v>
      </c>
      <c r="AB17" s="14"/>
      <c r="AC17" s="10"/>
      <c r="AD17" s="12" t="s">
        <v>7</v>
      </c>
      <c r="AE17" s="13">
        <v>0</v>
      </c>
      <c r="AF17" s="14"/>
      <c r="AG17" s="10"/>
      <c r="AH17" s="12" t="s">
        <v>7</v>
      </c>
      <c r="AI17" s="13">
        <v>100000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44">
        <v>0</v>
      </c>
      <c r="L18" s="43"/>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44" t="s">
        <v>112</v>
      </c>
      <c r="L19" s="43"/>
      <c r="M19" s="10"/>
      <c r="N19" s="12" t="s">
        <v>5</v>
      </c>
      <c r="O19" s="13" t="s">
        <v>4</v>
      </c>
      <c r="P19" s="14"/>
      <c r="Q19" s="10"/>
      <c r="R19" s="12" t="s">
        <v>5</v>
      </c>
      <c r="S19" s="13" t="s">
        <v>4</v>
      </c>
      <c r="T19" s="14"/>
      <c r="U19" s="10"/>
      <c r="V19" s="12" t="s">
        <v>5</v>
      </c>
      <c r="W19" s="13" t="s">
        <v>4</v>
      </c>
      <c r="X19" s="14"/>
      <c r="Y19" s="10"/>
      <c r="Z19" s="12" t="s">
        <v>5</v>
      </c>
      <c r="AA19" s="44" t="s">
        <v>265</v>
      </c>
      <c r="AB19" s="14"/>
      <c r="AC19" s="10"/>
      <c r="AD19" s="12" t="s">
        <v>5</v>
      </c>
      <c r="AE19" s="13" t="s">
        <v>4</v>
      </c>
      <c r="AF19" s="14"/>
      <c r="AG19" s="10"/>
      <c r="AH19" s="12" t="s">
        <v>5</v>
      </c>
      <c r="AI19" s="13" t="s">
        <v>251</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44" t="s">
        <v>68</v>
      </c>
      <c r="L20" s="43">
        <v>47000</v>
      </c>
      <c r="M20" s="10"/>
      <c r="N20" s="12" t="s">
        <v>11</v>
      </c>
      <c r="O20" s="15" t="s">
        <v>13</v>
      </c>
      <c r="P20" s="14">
        <v>0</v>
      </c>
      <c r="Q20" s="10"/>
      <c r="R20" s="12" t="s">
        <v>11</v>
      </c>
      <c r="S20" s="15" t="s">
        <v>13</v>
      </c>
      <c r="T20" s="14">
        <v>0</v>
      </c>
      <c r="U20" s="10"/>
      <c r="V20" s="12" t="s">
        <v>11</v>
      </c>
      <c r="W20" s="15" t="s">
        <v>13</v>
      </c>
      <c r="X20" s="14">
        <v>0</v>
      </c>
      <c r="Y20" s="10"/>
      <c r="Z20" s="12" t="s">
        <v>11</v>
      </c>
      <c r="AA20" s="44" t="s">
        <v>131</v>
      </c>
      <c r="AB20" s="43">
        <v>5000</v>
      </c>
      <c r="AC20" s="10"/>
      <c r="AD20" s="12" t="s">
        <v>11</v>
      </c>
      <c r="AE20" s="15" t="s">
        <v>13</v>
      </c>
      <c r="AF20" s="14">
        <v>0</v>
      </c>
      <c r="AG20" s="10"/>
      <c r="AH20" s="12" t="s">
        <v>11</v>
      </c>
      <c r="AI20" s="15" t="s">
        <v>131</v>
      </c>
      <c r="AJ20" s="14">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44" t="s">
        <v>131</v>
      </c>
      <c r="L21" s="43">
        <v>1999</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6">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44" t="s">
        <v>13</v>
      </c>
      <c r="L22" s="43">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44">
        <v>35000</v>
      </c>
      <c r="L24" s="43"/>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90000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44">
        <v>0</v>
      </c>
      <c r="L25" s="43"/>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44" t="s">
        <v>33</v>
      </c>
      <c r="L26" s="43"/>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257</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44" t="s">
        <v>68</v>
      </c>
      <c r="L27" s="43">
        <v>45000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131</v>
      </c>
      <c r="AJ27" s="14">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44" t="s">
        <v>131</v>
      </c>
      <c r="L28" s="43">
        <v>1999</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44" t="s">
        <v>13</v>
      </c>
      <c r="L29" s="43">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3"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3" s="7" customFormat="1" ht="15.7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s="7" customFormat="1" ht="15.75">
      <c r="A77" s="51"/>
      <c r="B77" s="35" t="s">
        <v>119</v>
      </c>
      <c r="C77" s="36" t="s">
        <v>68</v>
      </c>
      <c r="D77" s="4" t="s">
        <v>36</v>
      </c>
      <c r="E77" s="51"/>
      <c r="F77" s="35" t="s">
        <v>119</v>
      </c>
      <c r="G77" s="36" t="s">
        <v>132</v>
      </c>
      <c r="H77" s="4" t="s">
        <v>36</v>
      </c>
      <c r="I77" s="51"/>
      <c r="J77" s="35" t="s">
        <v>5</v>
      </c>
      <c r="K77" s="47" t="s">
        <v>33</v>
      </c>
      <c r="L77" s="48" t="s">
        <v>36</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row>
    <row r="78" spans="1:53" s="7" customFormat="1" ht="15.75">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row>
    <row r="79" spans="1:53" s="7" customFormat="1" ht="15.75">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235</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row>
    <row r="80" spans="1:53" s="7" customFormat="1" ht="15.75">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260</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245</v>
      </c>
      <c r="BA80" s="51"/>
    </row>
    <row r="81" spans="1:53" s="7" customFormat="1" ht="15.75">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259</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247</v>
      </c>
      <c r="BA81" s="51"/>
    </row>
    <row r="82" spans="1:53" s="7" customFormat="1" ht="15.75">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227</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237</v>
      </c>
      <c r="AZ82" s="49" t="s">
        <v>244</v>
      </c>
      <c r="BA82" s="51"/>
    </row>
    <row r="83" spans="1:53" s="7" customFormat="1" ht="15.75">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246</v>
      </c>
      <c r="U83" s="51"/>
      <c r="V83" s="35" t="s">
        <v>38</v>
      </c>
      <c r="W83" s="36" t="s">
        <v>55</v>
      </c>
      <c r="X83" s="38" t="s">
        <v>239</v>
      </c>
      <c r="Y83" s="51"/>
      <c r="Z83" s="35" t="s">
        <v>38</v>
      </c>
      <c r="AA83" s="36" t="s">
        <v>55</v>
      </c>
      <c r="AB83" s="38" t="s">
        <v>239</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240</v>
      </c>
      <c r="BA83" s="51"/>
    </row>
    <row r="84" spans="1:53"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241</v>
      </c>
      <c r="Y84" s="51"/>
      <c r="Z84" s="35" t="s">
        <v>38</v>
      </c>
      <c r="AA84" s="36" t="s">
        <v>56</v>
      </c>
      <c r="AB84" s="38" t="s">
        <v>241</v>
      </c>
      <c r="AC84" s="51"/>
      <c r="AD84" s="35" t="s">
        <v>38</v>
      </c>
      <c r="AE84" s="36" t="s">
        <v>158</v>
      </c>
      <c r="AF84" s="38" t="s">
        <v>159</v>
      </c>
      <c r="AG84" s="51"/>
      <c r="AH84" s="35" t="s">
        <v>38</v>
      </c>
      <c r="AI84" s="36" t="s">
        <v>160</v>
      </c>
      <c r="AJ84" s="47">
        <v>6000</v>
      </c>
      <c r="AK84" s="51"/>
      <c r="AL84" s="51"/>
      <c r="AM84" s="51"/>
      <c r="AN84" s="51"/>
      <c r="AO84" s="51"/>
      <c r="AP84" s="51"/>
      <c r="AQ84" s="51"/>
      <c r="AR84" s="51"/>
      <c r="AS84" s="51"/>
      <c r="AT84" s="51"/>
      <c r="AU84" s="51"/>
      <c r="AV84" s="51"/>
      <c r="AW84" s="51"/>
      <c r="AX84" s="35" t="s">
        <v>38</v>
      </c>
      <c r="AY84" s="47" t="s">
        <v>200</v>
      </c>
      <c r="AZ84" s="49" t="s">
        <v>264</v>
      </c>
      <c r="BA84" s="51"/>
    </row>
    <row r="85" spans="1:53"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243</v>
      </c>
      <c r="U85" s="51"/>
      <c r="V85" s="35" t="s">
        <v>38</v>
      </c>
      <c r="W85" s="36" t="s">
        <v>59</v>
      </c>
      <c r="X85" s="38" t="s">
        <v>141</v>
      </c>
      <c r="Y85" s="51"/>
      <c r="Z85" s="35" t="s">
        <v>38</v>
      </c>
      <c r="AA85" s="36" t="s">
        <v>59</v>
      </c>
      <c r="AB85" s="38" t="s">
        <v>141</v>
      </c>
      <c r="AC85" s="51"/>
      <c r="AD85" s="51"/>
      <c r="AE85" s="51"/>
      <c r="AF85" s="51"/>
      <c r="AG85" s="51"/>
      <c r="AH85" s="35" t="s">
        <v>38</v>
      </c>
      <c r="AI85" s="36" t="s">
        <v>255</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3"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241</v>
      </c>
      <c r="U86" s="51"/>
      <c r="V86" s="35" t="s">
        <v>38</v>
      </c>
      <c r="W86" s="36" t="s">
        <v>60</v>
      </c>
      <c r="X86" s="38" t="s">
        <v>138</v>
      </c>
      <c r="Y86" s="51"/>
      <c r="Z86" s="35" t="s">
        <v>38</v>
      </c>
      <c r="AA86" s="36" t="s">
        <v>60</v>
      </c>
      <c r="AB86" s="38" t="s">
        <v>138</v>
      </c>
      <c r="AC86" s="51"/>
      <c r="AD86" s="51"/>
      <c r="AE86" s="51"/>
      <c r="AF86" s="51"/>
      <c r="AG86" s="51"/>
      <c r="AH86" s="35" t="s">
        <v>38</v>
      </c>
      <c r="AI86" s="36" t="s">
        <v>256</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3"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3"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3"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226</v>
      </c>
      <c r="AZ89" s="49" t="s">
        <v>232</v>
      </c>
    </row>
    <row r="90" spans="1:53"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228</v>
      </c>
      <c r="AZ90" s="49" t="s">
        <v>232</v>
      </c>
    </row>
    <row r="91" spans="1:53"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229</v>
      </c>
      <c r="AZ91" s="49" t="s">
        <v>230</v>
      </c>
    </row>
    <row r="92" spans="1:53"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3"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3"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3"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3"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4">
    <dataValidation type="list" allowBlank="1" showInputMessage="1" sqref="AE61 AE47 AE40 AE33 AE26 AE19 AE12 AE68 AA12 AU5 C5 C33 C47 C54 C61 C68 AI5 G5 G19 G26 G33 G40 G47 G54 G61 G68 AY19 AI26 AY26 AI19 K33 K40 K47 K54 K61 K68 O12 O5 O19 O26 O33 O40 O47 O54 O61 O68 S12 S5 S19 S26 S33 S40 S47 S54 S61 S68 W12 W5 W19 W26 W33 W40 W47 W54 W61 W68 C40 AY47 G12 AA68 AA61 AA54 AA47 AA40 C19 AY12 AY68 C26 AY40 AI61 AI54 AI47 AI40 AI33 AY33 AI12 AE54 AI68 AM5 AM61 AM54 AM47 AM40 AM33 AM26 AM19 AM12 AM68 K5 AQ61 AQ54 AQ47 AQ40 AQ33 AQ26 AQ19 AQ12 AQ68 AY5 AU61 AU54 AU47 AU40 AU33 AU26 AU19 AU12 AU68 AQ5 AY61 AY54 K12 K26 K19 AA33 AA26">
      <formula1>'6755_coolers'!A2:A137</formula1>
    </dataValidation>
    <dataValidation type="list" allowBlank="1" showInputMessage="1" showErrorMessage="1" sqref="AI1 C1 G1 AY1 O1 S1 W1 AA1 K1 AM1 AQ1 AU1">
      <formula1>'6755_tz'!A2:A97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AJ78 L78">
      <formula1>0</formula1>
      <formula2>1</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T77 D1 H1 T1 X1 P1 L1 X77 AB1 AN1 AR1 H77 AJ77 AZ77 AF1 AB77 P77 D77 AV1 AZ1 AV77 AF77 AJ1 AN77 AR77 L77">
      <formula1>"ENABLE,DISABLE"</formula1>
    </dataValidation>
    <dataValidation type="list" allowBlank="1" showInputMessage="1" showErrorMessage="1" sqref="K20:K22 AY20:AY22 AE55:AE57 AE48:AE50 AE41:AE43 AE34:AE36 AE27:AE29 AE20:AE22 AE69:AE71 AE13:AE15 AE62:AE64 AA13:AA15 AI6:AI8 O13:O15 O69:O71 O20:O22 O27:O29 O34:O36 O41:O43 O6:O8 O48:O50 O55:O57 O62:O64 C69:C71 C34:C36 C6:C8 C48:C50 C55:C57 C62:C64 S13:S15 S69:S71 S20:S22 S27:S29 S34:S36 S41:S43 S6:S8 S48:S50 S55:S57 S62:S64 AI20:AI22 G69:G71 G20:G22 K69:K71 G27:G29 G34:G36 G41:G43 AI27:AI29 K34:K36 G6:G8 G48:G50 G55:G57 K41:K43 K27:K29 G62:G64 K48:K50 K55:K57 K62:K64 W13:W15 W69:W71 W20:W22 W27:W29 W34:W36 W41:W43 W6:W8 W48:W50 W55:W57 W62:W64 C27:C29 AU6:AU8 AM6:AM8 G13:G15 AA55:AA57 AA48:AA50 AA6:AA8 AA41:AA43 C20:C22 AY62:AY64 AA69:AA71 AY69:AY71 AA62:AA64 AI55:AI57 AI48:AI50 AI41:AI43 AI34:AI36 AY13:AY15 AI13:AI15 AI69:AI71 C41:C43 AI62:AI64 AE6:AE8 AM55:AM57 AM48:AM50 AM41:AM43 AM34:AM36 AM27:AM29 AM20:AM22 AM69:AM71 AM13:AM15 AM62:AM64 K6:K8 AQ55:AQ57 AQ48:AQ50 AQ41:AQ43 AQ34:AQ36 AQ27:AQ29 AQ20:AQ22 AQ69:AQ71 AQ13:AQ15 AQ62:AQ64 AY6:AY8 AU55:AU57 AU48:AU50 AU41:AU43 AU34:AU36 AU27:AU29 AU20:AU22 AU69:AU71 AU13:AU15 AU62:AU64 AQ6:AQ8 AY55:AY57 AY48:AY50 AY41:AY43 AY34:AY36 AY27:AY29 K13:K15 AA34:AA36 AA27:AA29">
      <formula1>"NULL, CPU0 loading(%), Wifi usage(Kb/s), &lt; Mobile usage(Kb/s), EXIT, mtktscpu, mtktsabb, mtktspmic, mtktsbattery, mtktspa, mtktswmt, mtktsAP, mtktsbuck, mtktsbattery2, mtktsxtal"</formula1>
    </dataValidation>
    <dataValidation type="list" allowBlank="1" showInputMessage="1" showErrorMessage="1" sqref="AE1">
      <formula1>'[2]6755_tz'!A2:A97</formula1>
    </dataValidation>
    <dataValidation type="list" allowBlank="1" showInputMessage="1" sqref="AE5">
      <formula1>'[2]6755_coolers'!A2:A134</formula1>
    </dataValidation>
    <dataValidation type="list" allowBlank="1" showInputMessage="1" sqref="AA5">
      <formula1>'[3]6755_coolers'!A2:A134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C12">
      <formula1>'[4]6755_coolers'!A2:A134</formula1>
    </dataValidation>
    <dataValidation type="list" allowBlank="1" showInputMessage="1" sqref="AA19">
      <formula1>'[1]6735_coolers'!A2:A134</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82">
    <tabColor rgb="FFFF0000"/>
  </sheetPr>
  <dimension ref="A1:BA124"/>
  <sheetViews>
    <sheetView zoomScale="90" zoomScaleNormal="90" workbookViewId="0">
      <selection activeCell="AA2" sqref="AA2"/>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233</v>
      </c>
      <c r="AR1" s="4" t="s">
        <v>36</v>
      </c>
      <c r="AS1" s="6"/>
      <c r="AT1" s="2" t="s">
        <v>35</v>
      </c>
      <c r="AU1" s="3" t="s">
        <v>234</v>
      </c>
      <c r="AV1" s="4" t="s">
        <v>36</v>
      </c>
      <c r="AW1" s="6"/>
      <c r="AX1" s="2" t="s">
        <v>35</v>
      </c>
      <c r="AY1" s="3" t="s">
        <v>129</v>
      </c>
      <c r="AZ1" s="4" t="s">
        <v>36</v>
      </c>
      <c r="BA1" s="51"/>
    </row>
    <row r="2" spans="1:53" ht="30.75" customHeight="1">
      <c r="B2" s="2" t="s">
        <v>9</v>
      </c>
      <c r="C2" s="3">
        <v>2</v>
      </c>
      <c r="D2" s="8"/>
      <c r="E2" s="9"/>
      <c r="F2" s="2" t="s">
        <v>9</v>
      </c>
      <c r="G2" s="3">
        <v>1</v>
      </c>
      <c r="H2" s="8"/>
      <c r="I2" s="10"/>
      <c r="J2" s="2" t="s">
        <v>9</v>
      </c>
      <c r="K2" s="57">
        <v>4</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4</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44">
        <v>40000</v>
      </c>
      <c r="L10" s="43"/>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13">
        <v>110000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44">
        <v>0</v>
      </c>
      <c r="L11" s="43"/>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44" t="s">
        <v>113</v>
      </c>
      <c r="L12" s="43"/>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13" t="s">
        <v>253</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44" t="s">
        <v>68</v>
      </c>
      <c r="L13" s="43">
        <v>50000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131</v>
      </c>
      <c r="AJ13" s="14">
        <v>3000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44" t="s">
        <v>131</v>
      </c>
      <c r="L14" s="43">
        <v>1999</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44" t="s">
        <v>13</v>
      </c>
      <c r="L15" s="43">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44">
        <v>37000</v>
      </c>
      <c r="L17" s="43"/>
      <c r="M17" s="10"/>
      <c r="N17" s="12" t="s">
        <v>7</v>
      </c>
      <c r="O17" s="13">
        <v>0</v>
      </c>
      <c r="P17" s="14"/>
      <c r="Q17" s="10"/>
      <c r="R17" s="12" t="s">
        <v>7</v>
      </c>
      <c r="S17" s="13">
        <v>0</v>
      </c>
      <c r="T17" s="14"/>
      <c r="U17" s="10"/>
      <c r="V17" s="12" t="s">
        <v>7</v>
      </c>
      <c r="W17" s="13">
        <v>0</v>
      </c>
      <c r="X17" s="14"/>
      <c r="Y17" s="10"/>
      <c r="Z17" s="12" t="s">
        <v>7</v>
      </c>
      <c r="AA17" s="44">
        <v>57000</v>
      </c>
      <c r="AB17" s="14"/>
      <c r="AC17" s="10"/>
      <c r="AD17" s="12" t="s">
        <v>7</v>
      </c>
      <c r="AE17" s="13">
        <v>0</v>
      </c>
      <c r="AF17" s="14"/>
      <c r="AG17" s="10"/>
      <c r="AH17" s="12" t="s">
        <v>7</v>
      </c>
      <c r="AI17" s="13">
        <v>100000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44">
        <v>0</v>
      </c>
      <c r="L18" s="43"/>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44" t="s">
        <v>112</v>
      </c>
      <c r="L19" s="43"/>
      <c r="M19" s="10"/>
      <c r="N19" s="12" t="s">
        <v>5</v>
      </c>
      <c r="O19" s="13" t="s">
        <v>4</v>
      </c>
      <c r="P19" s="14"/>
      <c r="Q19" s="10"/>
      <c r="R19" s="12" t="s">
        <v>5</v>
      </c>
      <c r="S19" s="13" t="s">
        <v>4</v>
      </c>
      <c r="T19" s="14"/>
      <c r="U19" s="10"/>
      <c r="V19" s="12" t="s">
        <v>5</v>
      </c>
      <c r="W19" s="13" t="s">
        <v>4</v>
      </c>
      <c r="X19" s="14"/>
      <c r="Y19" s="10"/>
      <c r="Z19" s="12" t="s">
        <v>5</v>
      </c>
      <c r="AA19" s="44" t="s">
        <v>265</v>
      </c>
      <c r="AB19" s="14"/>
      <c r="AC19" s="10"/>
      <c r="AD19" s="12" t="s">
        <v>5</v>
      </c>
      <c r="AE19" s="13" t="s">
        <v>4</v>
      </c>
      <c r="AF19" s="14"/>
      <c r="AG19" s="10"/>
      <c r="AH19" s="12" t="s">
        <v>5</v>
      </c>
      <c r="AI19" s="13" t="s">
        <v>251</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44" t="s">
        <v>68</v>
      </c>
      <c r="L20" s="43">
        <v>47000</v>
      </c>
      <c r="M20" s="10"/>
      <c r="N20" s="12" t="s">
        <v>11</v>
      </c>
      <c r="O20" s="15" t="s">
        <v>13</v>
      </c>
      <c r="P20" s="14">
        <v>0</v>
      </c>
      <c r="Q20" s="10"/>
      <c r="R20" s="12" t="s">
        <v>11</v>
      </c>
      <c r="S20" s="15" t="s">
        <v>13</v>
      </c>
      <c r="T20" s="14">
        <v>0</v>
      </c>
      <c r="U20" s="10"/>
      <c r="V20" s="12" t="s">
        <v>11</v>
      </c>
      <c r="W20" s="15" t="s">
        <v>13</v>
      </c>
      <c r="X20" s="14">
        <v>0</v>
      </c>
      <c r="Y20" s="10"/>
      <c r="Z20" s="12" t="s">
        <v>11</v>
      </c>
      <c r="AA20" s="44" t="s">
        <v>131</v>
      </c>
      <c r="AB20" s="43">
        <v>5000</v>
      </c>
      <c r="AC20" s="10"/>
      <c r="AD20" s="12" t="s">
        <v>11</v>
      </c>
      <c r="AE20" s="15" t="s">
        <v>13</v>
      </c>
      <c r="AF20" s="14">
        <v>0</v>
      </c>
      <c r="AG20" s="10"/>
      <c r="AH20" s="12" t="s">
        <v>11</v>
      </c>
      <c r="AI20" s="15" t="s">
        <v>131</v>
      </c>
      <c r="AJ20" s="14">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44" t="s">
        <v>131</v>
      </c>
      <c r="L21" s="43">
        <v>1999</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6">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44" t="s">
        <v>13</v>
      </c>
      <c r="L22" s="43">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44">
        <v>35000</v>
      </c>
      <c r="L24" s="43"/>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90000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44">
        <v>0</v>
      </c>
      <c r="L25" s="43"/>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44" t="s">
        <v>33</v>
      </c>
      <c r="L26" s="43"/>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257</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44" t="s">
        <v>68</v>
      </c>
      <c r="L27" s="43">
        <v>45000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131</v>
      </c>
      <c r="AJ27" s="14">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44" t="s">
        <v>131</v>
      </c>
      <c r="L28" s="43">
        <v>1999</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44" t="s">
        <v>13</v>
      </c>
      <c r="L29" s="43">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4">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3"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3" s="7" customFormat="1" ht="15.7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s="7" customFormat="1" ht="15.75">
      <c r="A77" s="51"/>
      <c r="B77" s="35" t="s">
        <v>119</v>
      </c>
      <c r="C77" s="36" t="s">
        <v>68</v>
      </c>
      <c r="D77" s="4" t="s">
        <v>36</v>
      </c>
      <c r="E77" s="51"/>
      <c r="F77" s="35" t="s">
        <v>119</v>
      </c>
      <c r="G77" s="36" t="s">
        <v>132</v>
      </c>
      <c r="H77" s="4" t="s">
        <v>36</v>
      </c>
      <c r="I77" s="51"/>
      <c r="J77" s="35" t="s">
        <v>5</v>
      </c>
      <c r="K77" s="47" t="s">
        <v>33</v>
      </c>
      <c r="L77" s="48" t="s">
        <v>36</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row>
    <row r="78" spans="1:53" s="7" customFormat="1" ht="15.75">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row>
    <row r="79" spans="1:53" s="7" customFormat="1" ht="15.75">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235</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row>
    <row r="80" spans="1:53" s="7" customFormat="1" ht="15.75">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258</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262</v>
      </c>
      <c r="BA80" s="51"/>
    </row>
    <row r="81" spans="1:53" s="7" customFormat="1" ht="15.75">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259</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236</v>
      </c>
      <c r="BA81" s="51"/>
    </row>
    <row r="82" spans="1:53" s="7" customFormat="1" ht="15.75">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227</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237</v>
      </c>
      <c r="AZ82" s="49" t="s">
        <v>263</v>
      </c>
      <c r="BA82" s="51"/>
    </row>
    <row r="83" spans="1:53" s="7" customFormat="1" ht="15.75">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138</v>
      </c>
      <c r="U83" s="51"/>
      <c r="V83" s="35" t="s">
        <v>38</v>
      </c>
      <c r="W83" s="36" t="s">
        <v>55</v>
      </c>
      <c r="X83" s="38" t="s">
        <v>239</v>
      </c>
      <c r="Y83" s="51"/>
      <c r="Z83" s="35" t="s">
        <v>38</v>
      </c>
      <c r="AA83" s="36" t="s">
        <v>55</v>
      </c>
      <c r="AB83" s="38" t="s">
        <v>239</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240</v>
      </c>
      <c r="BA83" s="51"/>
    </row>
    <row r="84" spans="1:53"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241</v>
      </c>
      <c r="Y84" s="51"/>
      <c r="Z84" s="35" t="s">
        <v>38</v>
      </c>
      <c r="AA84" s="36" t="s">
        <v>56</v>
      </c>
      <c r="AB84" s="38" t="s">
        <v>241</v>
      </c>
      <c r="AC84" s="51"/>
      <c r="AD84" s="35" t="s">
        <v>38</v>
      </c>
      <c r="AE84" s="36" t="s">
        <v>158</v>
      </c>
      <c r="AF84" s="38" t="s">
        <v>159</v>
      </c>
      <c r="AG84" s="51"/>
      <c r="AH84" s="35" t="s">
        <v>38</v>
      </c>
      <c r="AI84" s="36" t="s">
        <v>160</v>
      </c>
      <c r="AJ84" s="47">
        <v>6000</v>
      </c>
      <c r="AK84" s="51"/>
      <c r="AL84" s="51"/>
      <c r="AM84" s="51"/>
      <c r="AN84" s="51"/>
      <c r="AO84" s="51"/>
      <c r="AP84" s="51"/>
      <c r="AQ84" s="51"/>
      <c r="AR84" s="51"/>
      <c r="AS84" s="51"/>
      <c r="AT84" s="51"/>
      <c r="AU84" s="51"/>
      <c r="AV84" s="51"/>
      <c r="AW84" s="51"/>
      <c r="AX84" s="35" t="s">
        <v>38</v>
      </c>
      <c r="AY84" s="47" t="s">
        <v>200</v>
      </c>
      <c r="AZ84" s="49" t="s">
        <v>264</v>
      </c>
      <c r="BA84" s="51"/>
    </row>
    <row r="85" spans="1:53"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243</v>
      </c>
      <c r="U85" s="51"/>
      <c r="V85" s="35" t="s">
        <v>38</v>
      </c>
      <c r="W85" s="36" t="s">
        <v>59</v>
      </c>
      <c r="X85" s="38" t="s">
        <v>141</v>
      </c>
      <c r="Y85" s="51"/>
      <c r="Z85" s="35" t="s">
        <v>38</v>
      </c>
      <c r="AA85" s="36" t="s">
        <v>59</v>
      </c>
      <c r="AB85" s="38" t="s">
        <v>141</v>
      </c>
      <c r="AC85" s="51"/>
      <c r="AD85" s="51"/>
      <c r="AE85" s="51"/>
      <c r="AF85" s="51"/>
      <c r="AG85" s="51"/>
      <c r="AH85" s="35" t="s">
        <v>38</v>
      </c>
      <c r="AI85" s="36" t="s">
        <v>255</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3"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241</v>
      </c>
      <c r="U86" s="51"/>
      <c r="V86" s="35" t="s">
        <v>38</v>
      </c>
      <c r="W86" s="36" t="s">
        <v>60</v>
      </c>
      <c r="X86" s="38" t="s">
        <v>138</v>
      </c>
      <c r="Y86" s="51"/>
      <c r="Z86" s="35" t="s">
        <v>38</v>
      </c>
      <c r="AA86" s="36" t="s">
        <v>60</v>
      </c>
      <c r="AB86" s="38" t="s">
        <v>138</v>
      </c>
      <c r="AC86" s="51"/>
      <c r="AD86" s="51"/>
      <c r="AE86" s="51"/>
      <c r="AF86" s="51"/>
      <c r="AG86" s="51"/>
      <c r="AH86" s="35" t="s">
        <v>38</v>
      </c>
      <c r="AI86" s="36" t="s">
        <v>256</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3"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3"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3"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226</v>
      </c>
      <c r="AZ89" s="49" t="s">
        <v>232</v>
      </c>
    </row>
    <row r="90" spans="1:53"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228</v>
      </c>
      <c r="AZ90" s="49" t="s">
        <v>232</v>
      </c>
    </row>
    <row r="91" spans="1:53"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229</v>
      </c>
      <c r="AZ91" s="49" t="s">
        <v>230</v>
      </c>
    </row>
    <row r="92" spans="1:53"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3"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3"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3"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3"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row r="123" spans="1:53" ht="15.75">
      <c r="AH123" s="51"/>
      <c r="AI123" s="51"/>
      <c r="AJ123" s="51"/>
    </row>
    <row r="124" spans="1:53" ht="15.75">
      <c r="AH124" s="51"/>
      <c r="AI124" s="51"/>
      <c r="AJ124" s="51"/>
    </row>
  </sheetData>
  <phoneticPr fontId="8" type="noConversion"/>
  <dataValidations count="14">
    <dataValidation type="list" allowBlank="1" showInputMessage="1" sqref="AE61 AE47 AE40 AE33 AE26 AE19 AE12 AE68 AA12 AU5 C5 C33 C47 C54 C61 C68 AI5 G5 G19 G26 G33 G40 G47 G54 G61 G68 AY19 AI26 AY26 AI19 K33 K40 K47 K54 K61 K68 O12 O5 O19 O26 O33 O40 O47 O54 O61 O68 S12 S5 S19 S26 S33 S40 S47 S54 S61 S68 W12 W5 W19 W26 W33 W40 W47 W54 W61 W68 C40 AY47 G12 AA68 AA61 AA54 AA47 AA40 C19 AY12 AY68 C26 AY40 AI61 AI54 AI47 AI40 AI33 AY33 AI12 AE54 AI68 AM5 AM61 AM54 AM47 AM40 AM33 AM26 AM19 AM12 AM68 K5 AQ61 AQ54 AQ47 AQ40 AQ33 AQ26 AQ19 AQ12 AQ68 AA33 AU61 AU54 AU47 AU40 AU33 AU26 AU19 AU12 AU68 AQ5 AY61 AY54 K12 K26 K19 AY5 AA26">
      <formula1>'6755_coolers'!A2:A137</formula1>
    </dataValidation>
    <dataValidation type="list" allowBlank="1" showInputMessage="1" showErrorMessage="1" sqref="AI1 C1 G1 AY1 O1 S1 W1 AA1 K1 AM1 AQ1 AU1">
      <formula1>'6755_tz'!A2:A97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AJ78 L78">
      <formula1>0</formula1>
      <formula2>1</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AF1 D1 H1 T1 X1 P1 L1 X77 AB1 AN1 AR1 H77 AJ77 AZ77 T77 AB77 P77 D77 AV1 AZ1 AV77 AF77 AJ1 AN77 AR77 L77">
      <formula1>"ENABLE,DISABLE"</formula1>
    </dataValidation>
    <dataValidation type="list" allowBlank="1" showInputMessage="1" showErrorMessage="1" sqref="AA27:AA29 AY20:AY22 AE55:AE57 AE48:AE50 AE41:AE43 AE34:AE36 AE27:AE29 AE20:AE22 AE69:AE71 AE13:AE15 AE62:AE64 AA13:AA15 AI6:AI8 O13:O15 O69:O71 O20:O22 O27:O29 O34:O36 O41:O43 O6:O8 O48:O50 O55:O57 O62:O64 C69:C71 C34:C36 C6:C8 C48:C50 C55:C57 C62:C64 S13:S15 S69:S71 S20:S22 S27:S29 S34:S36 S41:S43 S6:S8 S48:S50 S55:S57 S62:S64 AY6:AY8 G69:G71 G20:G22 K69:K71 G27:G29 G34:G36 G41:G43 AI27:AI29 K34:K36 G6:G8 G48:G50 G55:G57 K41:K43 AI20:AI22 G62:G64 K48:K50 K55:K57 K62:K64 W13:W15 W69:W71 W20:W22 W27:W29 W34:W36 W41:W43 W6:W8 W48:W50 W55:W57 W62:W64 C27:C29 AU6:AU8 AM6:AM8 G13:G15 AA55:AA57 AA48:AA50 AA6:AA8 AA41:AA43 C20:C22 AY62:AY64 AA69:AA71 AY69:AY71 AA62:AA64 AI55:AI57 AI48:AI50 AI41:AI43 AI34:AI36 AY13:AY15 AI13:AI15 AI69:AI71 C41:C43 AI62:AI64 AE6:AE8 AM55:AM57 AM48:AM50 AM41:AM43 AM34:AM36 AM27:AM29 AM20:AM22 AM69:AM71 AM13:AM15 AM62:AM64 K6:K8 AQ55:AQ57 AQ48:AQ50 AQ41:AQ43 AQ34:AQ36 AQ27:AQ29 AQ20:AQ22 AQ69:AQ71 AQ13:AQ15 AQ62:AQ64 AA34:AA36 AU55:AU57 AU48:AU50 AU41:AU43 AU34:AU36 AU27:AU29 AU20:AU22 AU69:AU71 AU13:AU15 AU62:AU64 AQ6:AQ8 AY55:AY57 AY48:AY50 AY41:AY43 AY34:AY36 AY27:AY29 K13:K15 K20:K22 K27:K29">
      <formula1>"NULL, CPU0 loading(%), Wifi usage(Kb/s), &lt; Mobile usage(Kb/s), EXIT, mtktscpu, mtktsabb, mtktspmic, mtktsbattery, mtktspa, mtktswmt, mtktsAP, mtktsbuck, mtktsbattery2, mtktsxtal"</formula1>
    </dataValidation>
    <dataValidation type="list" allowBlank="1" showInputMessage="1" showErrorMessage="1" sqref="AE1">
      <formula1>'[2]6755_tz'!A2:A97</formula1>
    </dataValidation>
    <dataValidation type="list" allowBlank="1" showInputMessage="1" sqref="AE5">
      <formula1>'[2]6755_coolers'!A2:A134</formula1>
    </dataValidation>
    <dataValidation type="list" allowBlank="1" showInputMessage="1" sqref="AA5">
      <formula1>'[3]6755_coolers'!A2:A134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C12">
      <formula1>'[4]6755_coolers'!A2:A134</formula1>
    </dataValidation>
    <dataValidation type="list" allowBlank="1" showInputMessage="1" sqref="AA19">
      <formula1>'[1]6735_coolers'!A2:A134</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sheetPr codeName="Sheet81">
    <tabColor rgb="FFFF0000"/>
  </sheetPr>
  <dimension ref="A1:BA122"/>
  <sheetViews>
    <sheetView zoomScale="90" zoomScaleNormal="90" workbookViewId="0">
      <selection activeCell="AA1" sqref="AA1:AB22"/>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233</v>
      </c>
      <c r="AR1" s="4" t="s">
        <v>36</v>
      </c>
      <c r="AS1" s="6"/>
      <c r="AT1" s="2" t="s">
        <v>35</v>
      </c>
      <c r="AU1" s="3" t="s">
        <v>234</v>
      </c>
      <c r="AV1" s="4" t="s">
        <v>36</v>
      </c>
      <c r="AW1" s="6"/>
      <c r="AX1" s="2" t="s">
        <v>35</v>
      </c>
      <c r="AY1" s="3" t="s">
        <v>129</v>
      </c>
      <c r="AZ1" s="4" t="s">
        <v>36</v>
      </c>
      <c r="BA1" s="51"/>
    </row>
    <row r="2" spans="1:53" ht="30.75" customHeight="1">
      <c r="B2" s="2" t="s">
        <v>9</v>
      </c>
      <c r="C2" s="3">
        <v>2</v>
      </c>
      <c r="D2" s="8"/>
      <c r="E2" s="9"/>
      <c r="F2" s="2" t="s">
        <v>9</v>
      </c>
      <c r="G2" s="3">
        <v>1</v>
      </c>
      <c r="H2" s="8"/>
      <c r="I2" s="10"/>
      <c r="J2" s="2" t="s">
        <v>9</v>
      </c>
      <c r="K2" s="57">
        <v>4</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4</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67000</v>
      </c>
      <c r="D10" s="14"/>
      <c r="E10" s="10"/>
      <c r="F10" s="12" t="s">
        <v>7</v>
      </c>
      <c r="G10" s="13">
        <v>0</v>
      </c>
      <c r="H10" s="14"/>
      <c r="I10" s="10"/>
      <c r="J10" s="12" t="s">
        <v>7</v>
      </c>
      <c r="K10" s="44">
        <v>40000</v>
      </c>
      <c r="L10" s="43"/>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110000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44">
        <v>0</v>
      </c>
      <c r="L11" s="43"/>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44" t="s">
        <v>113</v>
      </c>
      <c r="L12" s="43"/>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44" t="s">
        <v>253</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44" t="s">
        <v>68</v>
      </c>
      <c r="L13" s="43">
        <v>50000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131</v>
      </c>
      <c r="AJ13" s="55">
        <v>3000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44" t="s">
        <v>131</v>
      </c>
      <c r="L14" s="43">
        <v>1999</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44" t="s">
        <v>13</v>
      </c>
      <c r="L15" s="43">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44">
        <v>37000</v>
      </c>
      <c r="L17" s="43"/>
      <c r="M17" s="10"/>
      <c r="N17" s="12" t="s">
        <v>7</v>
      </c>
      <c r="O17" s="13">
        <v>0</v>
      </c>
      <c r="P17" s="14"/>
      <c r="Q17" s="10"/>
      <c r="R17" s="12" t="s">
        <v>7</v>
      </c>
      <c r="S17" s="13">
        <v>0</v>
      </c>
      <c r="T17" s="14"/>
      <c r="U17" s="10"/>
      <c r="V17" s="12" t="s">
        <v>7</v>
      </c>
      <c r="W17" s="13">
        <v>0</v>
      </c>
      <c r="X17" s="14"/>
      <c r="Y17" s="10"/>
      <c r="Z17" s="12" t="s">
        <v>7</v>
      </c>
      <c r="AA17" s="44">
        <v>57000</v>
      </c>
      <c r="AB17" s="14"/>
      <c r="AC17" s="10"/>
      <c r="AD17" s="12" t="s">
        <v>7</v>
      </c>
      <c r="AE17" s="13">
        <v>0</v>
      </c>
      <c r="AF17" s="14"/>
      <c r="AG17" s="10"/>
      <c r="AH17" s="12" t="s">
        <v>7</v>
      </c>
      <c r="AI17" s="54">
        <v>100000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44">
        <v>0</v>
      </c>
      <c r="L18" s="43"/>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44" t="s">
        <v>112</v>
      </c>
      <c r="L19" s="43"/>
      <c r="M19" s="10"/>
      <c r="N19" s="12" t="s">
        <v>5</v>
      </c>
      <c r="O19" s="13" t="s">
        <v>4</v>
      </c>
      <c r="P19" s="14"/>
      <c r="Q19" s="10"/>
      <c r="R19" s="12" t="s">
        <v>5</v>
      </c>
      <c r="S19" s="13" t="s">
        <v>4</v>
      </c>
      <c r="T19" s="14"/>
      <c r="U19" s="10"/>
      <c r="V19" s="12" t="s">
        <v>5</v>
      </c>
      <c r="W19" s="13" t="s">
        <v>4</v>
      </c>
      <c r="X19" s="14"/>
      <c r="Y19" s="10"/>
      <c r="Z19" s="12" t="s">
        <v>5</v>
      </c>
      <c r="AA19" s="44" t="s">
        <v>265</v>
      </c>
      <c r="AB19" s="14"/>
      <c r="AC19" s="10"/>
      <c r="AD19" s="12" t="s">
        <v>5</v>
      </c>
      <c r="AE19" s="13" t="s">
        <v>4</v>
      </c>
      <c r="AF19" s="14"/>
      <c r="AG19" s="10"/>
      <c r="AH19" s="12" t="s">
        <v>5</v>
      </c>
      <c r="AI19" s="54" t="s">
        <v>251</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44" t="s">
        <v>68</v>
      </c>
      <c r="L20" s="43">
        <v>47000</v>
      </c>
      <c r="M20" s="10"/>
      <c r="N20" s="12" t="s">
        <v>11</v>
      </c>
      <c r="O20" s="15" t="s">
        <v>13</v>
      </c>
      <c r="P20" s="14">
        <v>0</v>
      </c>
      <c r="Q20" s="10"/>
      <c r="R20" s="12" t="s">
        <v>11</v>
      </c>
      <c r="S20" s="15" t="s">
        <v>13</v>
      </c>
      <c r="T20" s="14">
        <v>0</v>
      </c>
      <c r="U20" s="10"/>
      <c r="V20" s="12" t="s">
        <v>11</v>
      </c>
      <c r="W20" s="15" t="s">
        <v>13</v>
      </c>
      <c r="X20" s="14">
        <v>0</v>
      </c>
      <c r="Y20" s="10"/>
      <c r="Z20" s="12" t="s">
        <v>11</v>
      </c>
      <c r="AA20" s="44" t="s">
        <v>131</v>
      </c>
      <c r="AB20" s="43">
        <v>5000</v>
      </c>
      <c r="AC20" s="10"/>
      <c r="AD20" s="12" t="s">
        <v>11</v>
      </c>
      <c r="AE20" s="15" t="s">
        <v>13</v>
      </c>
      <c r="AF20" s="14">
        <v>0</v>
      </c>
      <c r="AG20" s="10"/>
      <c r="AH20" s="12" t="s">
        <v>11</v>
      </c>
      <c r="AI20" s="15"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44" t="s">
        <v>131</v>
      </c>
      <c r="L21" s="43">
        <v>1999</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44" t="s">
        <v>13</v>
      </c>
      <c r="L22" s="43">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44">
        <v>35000</v>
      </c>
      <c r="L24" s="43"/>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54">
        <v>90000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44">
        <v>0</v>
      </c>
      <c r="L25" s="43"/>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44" t="s">
        <v>33</v>
      </c>
      <c r="L26" s="43"/>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54" t="s">
        <v>257</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44" t="s">
        <v>68</v>
      </c>
      <c r="L27" s="43">
        <v>45000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44" t="s">
        <v>131</v>
      </c>
      <c r="L28" s="43">
        <v>1999</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44" t="s">
        <v>13</v>
      </c>
      <c r="L29" s="43">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4">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3"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s="51"/>
    </row>
    <row r="76" spans="1:53" s="7" customFormat="1" ht="15.7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s="7" customFormat="1" ht="15.75">
      <c r="A77" s="51"/>
      <c r="B77" s="35" t="s">
        <v>119</v>
      </c>
      <c r="C77" s="36" t="s">
        <v>68</v>
      </c>
      <c r="D77" s="4" t="s">
        <v>36</v>
      </c>
      <c r="E77" s="51"/>
      <c r="F77" s="35" t="s">
        <v>119</v>
      </c>
      <c r="G77" s="36" t="s">
        <v>132</v>
      </c>
      <c r="H77" s="4" t="s">
        <v>36</v>
      </c>
      <c r="I77" s="51"/>
      <c r="J77" s="35" t="s">
        <v>5</v>
      </c>
      <c r="K77" s="47" t="s">
        <v>33</v>
      </c>
      <c r="L77" s="48" t="s">
        <v>36</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row>
    <row r="78" spans="1:53" s="7" customFormat="1" ht="15.75">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row>
    <row r="79" spans="1:53" s="7" customFormat="1" ht="15.75">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235</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249</v>
      </c>
      <c r="BA79" s="51"/>
    </row>
    <row r="80" spans="1:53" s="7" customFormat="1" ht="15.75">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258</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231</v>
      </c>
      <c r="BA80" s="51"/>
    </row>
    <row r="81" spans="1:53" s="7" customFormat="1" ht="15.75">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259</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236</v>
      </c>
      <c r="BA81" s="51"/>
    </row>
    <row r="82" spans="1:53" s="7" customFormat="1" ht="15.75">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227</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237</v>
      </c>
      <c r="AZ82" s="49" t="s">
        <v>238</v>
      </c>
      <c r="BA82" s="51"/>
    </row>
    <row r="83" spans="1:53" s="7" customFormat="1" ht="15.75">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141</v>
      </c>
      <c r="U83" s="51"/>
      <c r="V83" s="35" t="s">
        <v>38</v>
      </c>
      <c r="W83" s="36" t="s">
        <v>55</v>
      </c>
      <c r="X83" s="38" t="s">
        <v>239</v>
      </c>
      <c r="Y83" s="51"/>
      <c r="Z83" s="35" t="s">
        <v>38</v>
      </c>
      <c r="AA83" s="36" t="s">
        <v>55</v>
      </c>
      <c r="AB83" s="38" t="s">
        <v>239</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240</v>
      </c>
      <c r="BA83" s="51"/>
    </row>
    <row r="84" spans="1:53"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241</v>
      </c>
      <c r="Y84" s="51"/>
      <c r="Z84" s="35" t="s">
        <v>38</v>
      </c>
      <c r="AA84" s="36" t="s">
        <v>56</v>
      </c>
      <c r="AB84" s="38" t="s">
        <v>241</v>
      </c>
      <c r="AC84" s="51"/>
      <c r="AD84" s="35" t="s">
        <v>38</v>
      </c>
      <c r="AE84" s="36" t="s">
        <v>158</v>
      </c>
      <c r="AF84" s="38" t="s">
        <v>159</v>
      </c>
      <c r="AG84" s="51"/>
      <c r="AH84" s="35" t="s">
        <v>38</v>
      </c>
      <c r="AI84" s="36" t="s">
        <v>160</v>
      </c>
      <c r="AJ84" s="47">
        <v>6000</v>
      </c>
      <c r="AK84" s="51"/>
      <c r="AL84" s="51"/>
      <c r="AM84" s="51"/>
      <c r="AN84" s="51"/>
      <c r="AO84" s="51"/>
      <c r="AP84" s="51"/>
      <c r="AQ84" s="51"/>
      <c r="AR84" s="51"/>
      <c r="AS84" s="51"/>
      <c r="AT84" s="51"/>
      <c r="AU84" s="51"/>
      <c r="AV84" s="51"/>
      <c r="AW84" s="51"/>
      <c r="AX84" s="35" t="s">
        <v>38</v>
      </c>
      <c r="AY84" s="47" t="s">
        <v>200</v>
      </c>
      <c r="AZ84" s="49" t="s">
        <v>242</v>
      </c>
      <c r="BA84" s="51"/>
    </row>
    <row r="85" spans="1:53"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243</v>
      </c>
      <c r="U85" s="51"/>
      <c r="V85" s="35" t="s">
        <v>38</v>
      </c>
      <c r="W85" s="36" t="s">
        <v>59</v>
      </c>
      <c r="X85" s="38" t="s">
        <v>141</v>
      </c>
      <c r="Y85" s="51"/>
      <c r="Z85" s="35" t="s">
        <v>38</v>
      </c>
      <c r="AA85" s="36" t="s">
        <v>59</v>
      </c>
      <c r="AB85" s="38" t="s">
        <v>141</v>
      </c>
      <c r="AC85" s="51"/>
      <c r="AD85" s="51"/>
      <c r="AE85" s="51"/>
      <c r="AF85" s="51"/>
      <c r="AG85" s="51"/>
      <c r="AH85" s="35" t="s">
        <v>38</v>
      </c>
      <c r="AI85" s="36" t="s">
        <v>255</v>
      </c>
      <c r="AJ85" s="47">
        <v>100</v>
      </c>
      <c r="AK85" s="51"/>
      <c r="AL85" s="51"/>
      <c r="AM85" s="51"/>
      <c r="AN85" s="51"/>
      <c r="AO85" s="51"/>
      <c r="AP85" s="51"/>
      <c r="AQ85" s="51"/>
      <c r="AR85" s="51"/>
      <c r="AS85" s="51"/>
      <c r="AT85" s="51"/>
      <c r="AU85" s="51"/>
      <c r="AV85" s="51"/>
      <c r="AW85" s="51"/>
      <c r="AX85" s="35" t="s">
        <v>38</v>
      </c>
      <c r="AY85" s="47" t="s">
        <v>201</v>
      </c>
      <c r="AZ85" s="52">
        <f>ROUND(AZ80+AZ86*AZ82/1000, 0)</f>
        <v>355000</v>
      </c>
      <c r="BA85" s="51"/>
    </row>
    <row r="86" spans="1:53"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241</v>
      </c>
      <c r="U86" s="51"/>
      <c r="V86" s="35" t="s">
        <v>38</v>
      </c>
      <c r="W86" s="36" t="s">
        <v>60</v>
      </c>
      <c r="X86" s="38" t="s">
        <v>138</v>
      </c>
      <c r="Y86" s="51"/>
      <c r="Z86" s="35" t="s">
        <v>38</v>
      </c>
      <c r="AA86" s="36" t="s">
        <v>60</v>
      </c>
      <c r="AB86" s="38" t="s">
        <v>138</v>
      </c>
      <c r="AC86" s="51"/>
      <c r="AD86" s="51"/>
      <c r="AE86" s="51"/>
      <c r="AF86" s="51"/>
      <c r="AG86" s="51"/>
      <c r="AH86" s="35" t="s">
        <v>38</v>
      </c>
      <c r="AI86" s="36" t="s">
        <v>256</v>
      </c>
      <c r="AJ86" s="47">
        <v>25500</v>
      </c>
      <c r="AK86" s="51"/>
      <c r="AL86" s="51"/>
      <c r="AM86" s="51"/>
      <c r="AN86" s="51"/>
      <c r="AO86" s="51"/>
      <c r="AP86" s="51"/>
      <c r="AQ86" s="51"/>
      <c r="AR86" s="51"/>
      <c r="AS86" s="51"/>
      <c r="AT86" s="51"/>
      <c r="AU86" s="51"/>
      <c r="AV86" s="51"/>
      <c r="AW86" s="51"/>
      <c r="AX86" s="41" t="s">
        <v>38</v>
      </c>
      <c r="AY86" s="53" t="s">
        <v>202</v>
      </c>
      <c r="AZ86" s="52">
        <f>ROUND((AZ79-AZ80)*1000/(AZ82-AZ81),0)</f>
        <v>6000</v>
      </c>
      <c r="BA86" s="51"/>
    </row>
    <row r="87" spans="1:53"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285016</v>
      </c>
      <c r="BA87" s="51"/>
    </row>
    <row r="88" spans="1:53"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4667</v>
      </c>
    </row>
    <row r="89" spans="1:53"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226</v>
      </c>
      <c r="AZ89" s="49" t="s">
        <v>232</v>
      </c>
    </row>
    <row r="90" spans="1:53"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228</v>
      </c>
      <c r="AZ90" s="49" t="s">
        <v>232</v>
      </c>
    </row>
    <row r="91" spans="1:53"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229</v>
      </c>
      <c r="AZ91" s="49" t="s">
        <v>230</v>
      </c>
    </row>
    <row r="92" spans="1:53"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3"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3"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3"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3"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4">
    <dataValidation type="list" allowBlank="1" showInputMessage="1" sqref="C12">
      <formula1>'[4]6755_coolers'!A2:A134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AA5">
      <formula1>'[3]6755_coolers'!A2:A134</formula1>
    </dataValidation>
    <dataValidation type="list" allowBlank="1" showInputMessage="1" sqref="AE5">
      <formula1>'[2]6755_coolers'!A2:A134</formula1>
    </dataValidation>
    <dataValidation type="list" allowBlank="1" showInputMessage="1" showErrorMessage="1" sqref="AE1">
      <formula1>'[2]6755_tz'!A2:A97</formula1>
    </dataValidation>
    <dataValidation type="list" allowBlank="1" showInputMessage="1" showErrorMessage="1" sqref="AA27:AA29 AY20:AY22 AE55:AE57 AE48:AE50 AE41:AE43 AE34:AE36 AE27:AE29 AE20:AE22 AE69:AE71 AE13:AE15 AE62:AE64 AA13:AA15 AI6:AI8 O13:O15 O69:O71 O20:O22 O27:O29 O34:O36 O41:O43 O6:O8 O48:O50 O55:O57 O62:O64 C69:C71 C34:C36 C6:C8 C48:C50 C55:C57 C62:C64 S13:S15 S69:S71 S20:S22 S27:S29 S34:S36 S41:S43 S6:S8 S48:S50 S55:S57 S62:S64 K20:K22 G69:G71 G20:G22 K69:K71 G27:G29 G34:G36 G41:G43 K27:K29 K34:K36 G6:G8 G48:G50 G55:G57 K41:K43 AY6:AY8 G62:G64 K48:K50 K55:K57 K62:K64 W13:W15 W69:W71 W20:W22 W27:W29 W34:W36 W41:W43 W6:W8 W48:W50 W55:W57 W62:W64 C27:C29 AU6:AU8 AM6:AM8 G13:G15 AA55:AA57 AA48:AA50 AA6:AA8 AA41:AA43 C20:C22 AY62:AY64 AA69:AA71 AY69:AY71 AA62:AA64 AI55:AI57 AI48:AI50 AI41:AI43 AI34:AI36 AY13:AY15 K13:K15 AI69:AI71 C41:C43 AI62:AI64 AE6:AE8 AM55:AM57 AM48:AM50 AM41:AM43 AM34:AM36 AM27:AM29 AM20:AM22 AM69:AM71 AM13:AM15 AM62:AM64 K6:K8 AQ55:AQ57 AQ48:AQ50 AQ41:AQ43 AQ34:AQ36 AQ27:AQ29 AQ20:AQ22 AQ69:AQ71 AQ13:AQ15 AQ62:AQ64 AA34:AA36 AU55:AU57 AU48:AU50 AU41:AU43 AU34:AU36 AU27:AU29 AU20:AU22 AU69:AU71 AU13:AU15 AU62:AU64 AQ6:AQ8 AY55:AY57 AY48:AY50 AY41:AY43 AY34:AY36 AY27:AY29 AI13:AI15 AI20:AI22 AI27:AI29">
      <formula1>"NULL, CPU0 loading(%), Wifi usage(Kb/s), &lt; Mobile usage(Kb/s), EXIT, mtktscpu, mtktsabb, mtktspmic, mtktsbattery, mtktspa, mtktswmt, mtktsAP, mtktsbuck, mtktsbattery2, mtktsxtal"</formula1>
    </dataValidation>
    <dataValidation type="list" allowBlank="1" showInputMessage="1" showErrorMessage="1" sqref="T77 D1 H1 T1 X1 P1 L1 X77 AB1 AN1 AR1 H77 AJ77 AZ77 L77 AB77 P77 D77 AV1 AZ1 AV77 AF77 AJ1 AN77 AR77 AF1">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I1 C1 G1 AY1 O1 S1 W1 AA1 K1 AM1 AQ1 AU1">
      <formula1>'6755_tz'!A2:A97</formula1>
    </dataValidation>
    <dataValidation type="list" allowBlank="1" showInputMessage="1" sqref="AE61 AE47 AE40 AE33 AE26 AE19 AE12 AE68 AA12 AU5 C5 C33 C47 C54 C61 C68 AI5 G5 G19 G26 G33 G40 G47 G54 G61 G68 AY19 K12 AY26 K26 K33 K40 K47 K54 K61 K68 O12 O5 O19 O26 O33 O40 O47 O54 O61 O68 S12 S5 S19 S26 S33 S40 S47 S54 S61 S68 W12 W5 W19 W26 W33 W40 W47 W54 W61 W68 C40 AY47 G12 AA68 AA61 AA54 AA47 AA40 C19 AY12 AY68 C26 AY40 AI61 AI54 AI47 AI40 AI33 AY33 K19 AE54 AI68 AM5 AM61 AM54 AM47 AM40 AM33 AM26 AM19 AM12 AM68 K5 AQ61 AQ54 AQ47 AQ40 AQ33 AQ26 AQ19 AQ12 AQ68 AA33 AU61 AU54 AU47 AU40 AU33 AU26 AU19 AU12 AU68 AQ5 AY61 AY54 AI26 AI19 AI12 AY5 AA26">
      <formula1>'6755_coolers'!A2:A137</formula1>
    </dataValidation>
    <dataValidation type="list" allowBlank="1" showInputMessage="1" sqref="AA19">
      <formula1>'[1]6735_coolers'!A2:A134</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sheetPr codeName="Sheet48"/>
  <dimension ref="A1:BA122"/>
  <sheetViews>
    <sheetView tabSelected="1" zoomScale="90" zoomScaleNormal="90" workbookViewId="0"/>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219</v>
      </c>
      <c r="AR1" s="4" t="s">
        <v>36</v>
      </c>
      <c r="AS1" s="6"/>
      <c r="AT1" s="2" t="s">
        <v>35</v>
      </c>
      <c r="AU1" s="3" t="s">
        <v>220</v>
      </c>
      <c r="AV1" s="4" t="s">
        <v>36</v>
      </c>
      <c r="AW1" s="6"/>
      <c r="AX1" s="2" t="s">
        <v>35</v>
      </c>
      <c r="AY1" s="3" t="s">
        <v>221</v>
      </c>
      <c r="AZ1" s="4" t="s">
        <v>36</v>
      </c>
      <c r="BA1"/>
    </row>
    <row r="2" spans="1:53" ht="30.75" customHeight="1">
      <c r="B2" s="2" t="s">
        <v>9</v>
      </c>
      <c r="C2" s="3">
        <v>3</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1</v>
      </c>
      <c r="AB2" s="8"/>
      <c r="AC2" s="10"/>
      <c r="AD2" s="2" t="s">
        <v>9</v>
      </c>
      <c r="AE2" s="3">
        <v>1</v>
      </c>
      <c r="AF2" s="8"/>
      <c r="AG2" s="10"/>
      <c r="AH2" s="2" t="s">
        <v>9</v>
      </c>
      <c r="AI2" s="3">
        <v>1</v>
      </c>
      <c r="AJ2" s="8"/>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44">
        <v>90000</v>
      </c>
      <c r="AB3" s="14"/>
      <c r="AC3" s="10"/>
      <c r="AD3" s="12" t="s">
        <v>7</v>
      </c>
      <c r="AE3" s="13">
        <v>120000</v>
      </c>
      <c r="AF3" s="14"/>
      <c r="AG3" s="10"/>
      <c r="AH3" s="12" t="s">
        <v>7</v>
      </c>
      <c r="AI3" s="13">
        <v>200000</v>
      </c>
      <c r="AJ3" s="14"/>
      <c r="AK3" s="10"/>
      <c r="AL3" s="12" t="s">
        <v>7</v>
      </c>
      <c r="AM3" s="13">
        <v>0</v>
      </c>
      <c r="AN3" s="14"/>
      <c r="AO3" s="10"/>
      <c r="AP3" s="12" t="s">
        <v>7</v>
      </c>
      <c r="AQ3" s="13">
        <v>0</v>
      </c>
      <c r="AR3" s="14"/>
      <c r="AS3" s="10"/>
      <c r="AT3" s="12" t="s">
        <v>7</v>
      </c>
      <c r="AU3" s="13">
        <v>0</v>
      </c>
      <c r="AV3" s="14"/>
      <c r="AW3" s="10"/>
      <c r="AX3" s="12" t="s">
        <v>7</v>
      </c>
      <c r="AY3" s="13">
        <v>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14"/>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v>
      </c>
      <c r="AB5" s="14"/>
      <c r="AC5" s="10"/>
      <c r="AD5" s="12" t="s">
        <v>5</v>
      </c>
      <c r="AE5" s="13" t="s">
        <v>108</v>
      </c>
      <c r="AF5" s="14"/>
      <c r="AG5" s="10"/>
      <c r="AH5" s="12" t="s">
        <v>5</v>
      </c>
      <c r="AI5" s="13" t="s">
        <v>109</v>
      </c>
      <c r="AJ5" s="14"/>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44">
        <v>105000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44">
        <v>85000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44" t="s">
        <v>51</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44" t="s">
        <v>131</v>
      </c>
      <c r="D20" s="43">
        <v>15000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218</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218</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218</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200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27">
        <v>4</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132</v>
      </c>
      <c r="H77" s="4" t="s">
        <v>36</v>
      </c>
      <c r="J77" s="35" t="s">
        <v>5</v>
      </c>
      <c r="K77" s="36" t="s">
        <v>33</v>
      </c>
      <c r="L77" s="4" t="s">
        <v>37</v>
      </c>
      <c r="M77"/>
      <c r="N77" s="35" t="s">
        <v>5</v>
      </c>
      <c r="O77" s="36" t="s">
        <v>19</v>
      </c>
      <c r="P77" s="4" t="s">
        <v>37</v>
      </c>
      <c r="Q77"/>
      <c r="R77" s="35" t="s">
        <v>5</v>
      </c>
      <c r="S77" s="36" t="s">
        <v>51</v>
      </c>
      <c r="T77" s="4" t="s">
        <v>36</v>
      </c>
      <c r="U77"/>
      <c r="V77" s="35" t="s">
        <v>5</v>
      </c>
      <c r="W77" s="36" t="s">
        <v>52</v>
      </c>
      <c r="X77" s="4" t="s">
        <v>37</v>
      </c>
      <c r="Y77"/>
      <c r="Z77" s="35" t="s">
        <v>5</v>
      </c>
      <c r="AA77" s="36" t="s">
        <v>53</v>
      </c>
      <c r="AB77" s="4" t="s">
        <v>37</v>
      </c>
      <c r="AC77"/>
      <c r="AD77" s="35" t="s">
        <v>5</v>
      </c>
      <c r="AE77" s="36" t="s">
        <v>143</v>
      </c>
      <c r="AF77" s="4" t="s">
        <v>37</v>
      </c>
      <c r="AG77"/>
      <c r="AH77" s="35" t="s">
        <v>5</v>
      </c>
      <c r="AI77" s="36" t="s">
        <v>144</v>
      </c>
      <c r="AJ77" s="4" t="s">
        <v>36</v>
      </c>
      <c r="AK77"/>
      <c r="AL77" s="35" t="s">
        <v>5</v>
      </c>
      <c r="AM77" s="36" t="s">
        <v>145</v>
      </c>
      <c r="AN77" s="4" t="s">
        <v>37</v>
      </c>
      <c r="AO77"/>
      <c r="AP77" s="35" t="s">
        <v>5</v>
      </c>
      <c r="AQ77" s="36" t="s">
        <v>145</v>
      </c>
      <c r="AR77" s="4" t="s">
        <v>37</v>
      </c>
      <c r="AS77"/>
      <c r="AT77" s="35" t="s">
        <v>5</v>
      </c>
      <c r="AU77" s="36" t="s">
        <v>145</v>
      </c>
      <c r="AV77" s="4" t="s">
        <v>37</v>
      </c>
      <c r="AW77"/>
      <c r="AX77" s="35" t="s">
        <v>5</v>
      </c>
      <c r="AY77" s="47" t="s">
        <v>193</v>
      </c>
      <c r="AZ77" s="48" t="s">
        <v>36</v>
      </c>
      <c r="BA77"/>
    </row>
    <row r="78" spans="1:53" s="7" customFormat="1" ht="15.75">
      <c r="A78"/>
      <c r="B78" s="35" t="s">
        <v>38</v>
      </c>
      <c r="C78" s="36" t="s">
        <v>126</v>
      </c>
      <c r="D78" s="38" t="s">
        <v>120</v>
      </c>
      <c r="E78"/>
      <c r="F78" s="35" t="s">
        <v>38</v>
      </c>
      <c r="G78" s="36" t="s">
        <v>126</v>
      </c>
      <c r="H78" s="38" t="s">
        <v>120</v>
      </c>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146</v>
      </c>
      <c r="AG78"/>
      <c r="AH78" s="35" t="s">
        <v>38</v>
      </c>
      <c r="AI78" s="36" t="s">
        <v>42</v>
      </c>
      <c r="AJ78" s="36">
        <v>0</v>
      </c>
      <c r="AK78"/>
      <c r="AL78" s="35" t="s">
        <v>38</v>
      </c>
      <c r="AM78" s="36" t="s">
        <v>147</v>
      </c>
      <c r="AN78" s="36">
        <v>1</v>
      </c>
      <c r="AO78"/>
      <c r="AP78" s="35" t="s">
        <v>38</v>
      </c>
      <c r="AQ78" s="36" t="s">
        <v>147</v>
      </c>
      <c r="AR78" s="36">
        <v>2</v>
      </c>
      <c r="AS78"/>
      <c r="AT78" s="35" t="s">
        <v>38</v>
      </c>
      <c r="AU78" s="36" t="s">
        <v>147</v>
      </c>
      <c r="AV78" s="36">
        <v>3</v>
      </c>
      <c r="AW78"/>
      <c r="AX78" s="35" t="s">
        <v>38</v>
      </c>
      <c r="AY78" s="47" t="s">
        <v>194</v>
      </c>
      <c r="AZ78" s="49" t="s">
        <v>63</v>
      </c>
      <c r="BA78"/>
    </row>
    <row r="79" spans="1:53" s="7" customFormat="1" ht="15.75">
      <c r="A79"/>
      <c r="B79" s="35" t="s">
        <v>38</v>
      </c>
      <c r="C79" s="36" t="s">
        <v>125</v>
      </c>
      <c r="D79" s="38" t="s">
        <v>134</v>
      </c>
      <c r="E79"/>
      <c r="F79" s="35" t="s">
        <v>38</v>
      </c>
      <c r="G79" s="36" t="s">
        <v>125</v>
      </c>
      <c r="H79" s="38" t="s">
        <v>134</v>
      </c>
      <c r="J79" s="35" t="s">
        <v>38</v>
      </c>
      <c r="K79" s="36" t="s">
        <v>39</v>
      </c>
      <c r="L79" s="36">
        <v>-1</v>
      </c>
      <c r="M79"/>
      <c r="N79" s="35" t="s">
        <v>38</v>
      </c>
      <c r="O79" s="36" t="s">
        <v>44</v>
      </c>
      <c r="P79" s="38" t="s">
        <v>45</v>
      </c>
      <c r="Q79"/>
      <c r="R79" s="35" t="s">
        <v>38</v>
      </c>
      <c r="S79" s="36" t="s">
        <v>54</v>
      </c>
      <c r="T79" s="49" t="s">
        <v>235</v>
      </c>
      <c r="U79"/>
      <c r="V79" s="35" t="s">
        <v>38</v>
      </c>
      <c r="W79" s="36" t="s">
        <v>54</v>
      </c>
      <c r="X79" s="38" t="s">
        <v>115</v>
      </c>
      <c r="Y79"/>
      <c r="Z79" s="35" t="s">
        <v>38</v>
      </c>
      <c r="AA79" s="36" t="s">
        <v>54</v>
      </c>
      <c r="AB79" s="38" t="s">
        <v>118</v>
      </c>
      <c r="AC79"/>
      <c r="AD79" s="35" t="s">
        <v>38</v>
      </c>
      <c r="AE79" s="36" t="s">
        <v>148</v>
      </c>
      <c r="AF79" s="38" t="s">
        <v>64</v>
      </c>
      <c r="AG79"/>
      <c r="AH79" s="35" t="s">
        <v>38</v>
      </c>
      <c r="AI79" s="36" t="s">
        <v>149</v>
      </c>
      <c r="AJ79" s="36">
        <v>400</v>
      </c>
      <c r="AK79"/>
      <c r="AL79" s="35" t="s">
        <v>38</v>
      </c>
      <c r="AM79" s="36" t="s">
        <v>150</v>
      </c>
      <c r="AN79" s="36">
        <v>1200</v>
      </c>
      <c r="AO79"/>
      <c r="AP79" s="35" t="s">
        <v>38</v>
      </c>
      <c r="AQ79" s="36" t="s">
        <v>150</v>
      </c>
      <c r="AR79" s="36">
        <v>600</v>
      </c>
      <c r="AS79"/>
      <c r="AT79" s="35" t="s">
        <v>38</v>
      </c>
      <c r="AU79" s="36" t="s">
        <v>150</v>
      </c>
      <c r="AV79" s="36">
        <v>300</v>
      </c>
      <c r="AW79"/>
      <c r="AX79" s="35" t="s">
        <v>38</v>
      </c>
      <c r="AY79" s="47" t="s">
        <v>195</v>
      </c>
      <c r="AZ79" s="49" t="s">
        <v>196</v>
      </c>
      <c r="BA79"/>
    </row>
    <row r="80" spans="1:53" s="7" customFormat="1" ht="15.75">
      <c r="A80"/>
      <c r="B80" s="35" t="s">
        <v>38</v>
      </c>
      <c r="C80" s="36" t="s">
        <v>126</v>
      </c>
      <c r="D80" s="38" t="s">
        <v>121</v>
      </c>
      <c r="E80"/>
      <c r="F80" s="35" t="s">
        <v>38</v>
      </c>
      <c r="G80" s="36" t="s">
        <v>126</v>
      </c>
      <c r="H80" s="38" t="s">
        <v>121</v>
      </c>
      <c r="J80" s="35" t="s">
        <v>38</v>
      </c>
      <c r="K80" s="36" t="s">
        <v>40</v>
      </c>
      <c r="L80" s="36">
        <v>-1</v>
      </c>
      <c r="M80"/>
      <c r="N80" s="35" t="s">
        <v>38</v>
      </c>
      <c r="O80" s="36" t="s">
        <v>46</v>
      </c>
      <c r="P80" s="38" t="s">
        <v>47</v>
      </c>
      <c r="Q80"/>
      <c r="R80" s="35" t="s">
        <v>38</v>
      </c>
      <c r="S80" s="36" t="s">
        <v>67</v>
      </c>
      <c r="T80" s="38" t="s">
        <v>258</v>
      </c>
      <c r="U80"/>
      <c r="V80" s="35" t="s">
        <v>38</v>
      </c>
      <c r="W80" s="36" t="s">
        <v>67</v>
      </c>
      <c r="X80" s="38" t="s">
        <v>117</v>
      </c>
      <c r="Y80"/>
      <c r="Z80" s="35" t="s">
        <v>38</v>
      </c>
      <c r="AA80" s="36" t="s">
        <v>67</v>
      </c>
      <c r="AB80" s="38" t="s">
        <v>117</v>
      </c>
      <c r="AC80"/>
      <c r="AD80" s="35" t="s">
        <v>38</v>
      </c>
      <c r="AE80" s="36" t="s">
        <v>46</v>
      </c>
      <c r="AF80" s="38" t="s">
        <v>142</v>
      </c>
      <c r="AG80"/>
      <c r="AH80" s="35" t="s">
        <v>38</v>
      </c>
      <c r="AI80" s="36" t="s">
        <v>151</v>
      </c>
      <c r="AJ80" s="36">
        <v>100</v>
      </c>
      <c r="AK80"/>
      <c r="AL80" s="35" t="s">
        <v>38</v>
      </c>
      <c r="AM80" s="36" t="s">
        <v>152</v>
      </c>
      <c r="AN80" s="36">
        <v>300</v>
      </c>
      <c r="AO80"/>
      <c r="AP80" s="35" t="s">
        <v>38</v>
      </c>
      <c r="AQ80" s="36" t="s">
        <v>152</v>
      </c>
      <c r="AR80" s="36">
        <v>300</v>
      </c>
      <c r="AS80"/>
      <c r="AT80" s="35" t="s">
        <v>38</v>
      </c>
      <c r="AU80" s="36" t="s">
        <v>152</v>
      </c>
      <c r="AV80" s="36">
        <v>300</v>
      </c>
      <c r="AW80"/>
      <c r="AX80" s="35" t="s">
        <v>38</v>
      </c>
      <c r="AY80" s="47" t="s">
        <v>197</v>
      </c>
      <c r="AZ80" s="49" t="s">
        <v>231</v>
      </c>
      <c r="BA80"/>
    </row>
    <row r="81" spans="1:53" s="7" customFormat="1" ht="15.75">
      <c r="A81"/>
      <c r="B81" s="35" t="s">
        <v>38</v>
      </c>
      <c r="C81" s="36" t="s">
        <v>125</v>
      </c>
      <c r="D81" s="38" t="s">
        <v>122</v>
      </c>
      <c r="E81"/>
      <c r="F81" s="35" t="s">
        <v>38</v>
      </c>
      <c r="G81" s="36" t="s">
        <v>125</v>
      </c>
      <c r="H81" s="38" t="s">
        <v>122</v>
      </c>
      <c r="J81" s="35" t="s">
        <v>38</v>
      </c>
      <c r="K81" s="36" t="s">
        <v>41</v>
      </c>
      <c r="L81" s="36">
        <v>-1</v>
      </c>
      <c r="M81"/>
      <c r="N81" s="35" t="s">
        <v>38</v>
      </c>
      <c r="O81" s="36" t="s">
        <v>48</v>
      </c>
      <c r="P81" s="38" t="s">
        <v>49</v>
      </c>
      <c r="Q81"/>
      <c r="R81" s="35" t="s">
        <v>38</v>
      </c>
      <c r="S81" s="36" t="s">
        <v>66</v>
      </c>
      <c r="T81" s="38" t="s">
        <v>259</v>
      </c>
      <c r="U81"/>
      <c r="V81" s="35" t="s">
        <v>38</v>
      </c>
      <c r="W81" s="36" t="s">
        <v>66</v>
      </c>
      <c r="X81" s="38" t="s">
        <v>116</v>
      </c>
      <c r="Y81"/>
      <c r="Z81" s="35" t="s">
        <v>38</v>
      </c>
      <c r="AA81" s="36" t="s">
        <v>66</v>
      </c>
      <c r="AB81" s="38" t="s">
        <v>116</v>
      </c>
      <c r="AC81"/>
      <c r="AD81" s="35" t="s">
        <v>38</v>
      </c>
      <c r="AE81" s="36" t="s">
        <v>153</v>
      </c>
      <c r="AF81" s="38" t="s">
        <v>64</v>
      </c>
      <c r="AG81"/>
      <c r="AH81" s="35" t="s">
        <v>38</v>
      </c>
      <c r="AI81" s="36" t="s">
        <v>154</v>
      </c>
      <c r="AJ81" s="36">
        <v>100</v>
      </c>
      <c r="AK81"/>
      <c r="AL81"/>
      <c r="AM81"/>
      <c r="AN81"/>
      <c r="AO81"/>
      <c r="AP81"/>
      <c r="AQ81"/>
      <c r="AR81"/>
      <c r="AS81"/>
      <c r="AT81"/>
      <c r="AU81"/>
      <c r="AV81"/>
      <c r="AW81"/>
      <c r="AX81" s="35" t="s">
        <v>38</v>
      </c>
      <c r="AY81" s="47" t="s">
        <v>198</v>
      </c>
      <c r="AZ81" s="49" t="s">
        <v>236</v>
      </c>
      <c r="BA81"/>
    </row>
    <row r="82" spans="1:53" s="7" customFormat="1" ht="15.75">
      <c r="A82"/>
      <c r="B82" s="35" t="s">
        <v>38</v>
      </c>
      <c r="C82" s="36" t="s">
        <v>126</v>
      </c>
      <c r="D82" s="38" t="s">
        <v>123</v>
      </c>
      <c r="E82"/>
      <c r="F82" s="35" t="s">
        <v>38</v>
      </c>
      <c r="G82" s="36" t="s">
        <v>126</v>
      </c>
      <c r="H82" s="38" t="s">
        <v>123</v>
      </c>
      <c r="J82"/>
      <c r="K82"/>
      <c r="L82"/>
      <c r="M82"/>
      <c r="N82" s="35" t="s">
        <v>38</v>
      </c>
      <c r="O82" s="36" t="s">
        <v>50</v>
      </c>
      <c r="P82" s="38" t="s">
        <v>47</v>
      </c>
      <c r="Q82"/>
      <c r="R82" s="35" t="s">
        <v>38</v>
      </c>
      <c r="S82" s="36" t="s">
        <v>57</v>
      </c>
      <c r="T82" s="38" t="s">
        <v>227</v>
      </c>
      <c r="U82"/>
      <c r="V82" s="35" t="s">
        <v>38</v>
      </c>
      <c r="W82" s="36" t="s">
        <v>57</v>
      </c>
      <c r="X82" s="38" t="s">
        <v>58</v>
      </c>
      <c r="Y82"/>
      <c r="Z82" s="35" t="s">
        <v>38</v>
      </c>
      <c r="AA82" s="36" t="s">
        <v>57</v>
      </c>
      <c r="AB82" s="38" t="s">
        <v>58</v>
      </c>
      <c r="AC82"/>
      <c r="AD82" s="35" t="s">
        <v>38</v>
      </c>
      <c r="AE82" s="36" t="s">
        <v>50</v>
      </c>
      <c r="AF82" s="38" t="s">
        <v>136</v>
      </c>
      <c r="AG82"/>
      <c r="AH82" s="35" t="s">
        <v>38</v>
      </c>
      <c r="AI82" s="36" t="s">
        <v>155</v>
      </c>
      <c r="AJ82" s="36">
        <v>200</v>
      </c>
      <c r="AK82"/>
      <c r="AL82"/>
      <c r="AM82"/>
      <c r="AN82"/>
      <c r="AO82"/>
      <c r="AP82"/>
      <c r="AQ82"/>
      <c r="AR82"/>
      <c r="AS82"/>
      <c r="AT82"/>
      <c r="AU82"/>
      <c r="AV82"/>
      <c r="AW82"/>
      <c r="AX82" s="35" t="s">
        <v>38</v>
      </c>
      <c r="AY82" s="47" t="s">
        <v>237</v>
      </c>
      <c r="AZ82" s="49" t="s">
        <v>238</v>
      </c>
      <c r="BA82"/>
    </row>
    <row r="83" spans="1:53" s="7" customFormat="1" ht="15.75">
      <c r="A83"/>
      <c r="B83" s="35" t="s">
        <v>38</v>
      </c>
      <c r="C83" s="36" t="s">
        <v>125</v>
      </c>
      <c r="D83" s="38" t="s">
        <v>135</v>
      </c>
      <c r="E83"/>
      <c r="F83" s="35" t="s">
        <v>38</v>
      </c>
      <c r="G83" s="36" t="s">
        <v>125</v>
      </c>
      <c r="H83" s="38" t="s">
        <v>135</v>
      </c>
      <c r="J83"/>
      <c r="K83"/>
      <c r="L83"/>
      <c r="M83"/>
      <c r="N83"/>
      <c r="O83"/>
      <c r="P83"/>
      <c r="Q83"/>
      <c r="R83" s="35" t="s">
        <v>38</v>
      </c>
      <c r="S83" s="36" t="s">
        <v>55</v>
      </c>
      <c r="T83" s="49" t="s">
        <v>141</v>
      </c>
      <c r="U83"/>
      <c r="V83" s="35" t="s">
        <v>38</v>
      </c>
      <c r="W83" s="36" t="s">
        <v>55</v>
      </c>
      <c r="X83" s="38" t="s">
        <v>138</v>
      </c>
      <c r="Y83"/>
      <c r="Z83" s="35" t="s">
        <v>38</v>
      </c>
      <c r="AA83" s="36" t="s">
        <v>55</v>
      </c>
      <c r="AB83" s="38" t="s">
        <v>138</v>
      </c>
      <c r="AC83"/>
      <c r="AD83" s="35" t="s">
        <v>38</v>
      </c>
      <c r="AE83" s="36" t="s">
        <v>156</v>
      </c>
      <c r="AF83" s="38" t="s">
        <v>64</v>
      </c>
      <c r="AG83"/>
      <c r="AH83" s="35" t="s">
        <v>38</v>
      </c>
      <c r="AI83" s="36" t="s">
        <v>157</v>
      </c>
      <c r="AJ83" s="36">
        <v>100</v>
      </c>
      <c r="AK83"/>
      <c r="AL83"/>
      <c r="AM83"/>
      <c r="AN83"/>
      <c r="AO83"/>
      <c r="AP83"/>
      <c r="AQ83"/>
      <c r="AR83"/>
      <c r="AS83"/>
      <c r="AT83"/>
      <c r="AU83"/>
      <c r="AV83"/>
      <c r="AW83"/>
      <c r="AX83" s="35" t="s">
        <v>38</v>
      </c>
      <c r="AY83" s="47" t="s">
        <v>199</v>
      </c>
      <c r="AZ83" s="49" t="s">
        <v>240</v>
      </c>
      <c r="BA83"/>
    </row>
    <row r="84" spans="1:53" s="7" customFormat="1" ht="15.75">
      <c r="A84"/>
      <c r="B84" s="35" t="s">
        <v>38</v>
      </c>
      <c r="C84" s="36" t="s">
        <v>126</v>
      </c>
      <c r="D84" s="38" t="s">
        <v>124</v>
      </c>
      <c r="E84"/>
      <c r="F84" s="35" t="s">
        <v>38</v>
      </c>
      <c r="G84" s="36" t="s">
        <v>126</v>
      </c>
      <c r="H84" s="38" t="s">
        <v>124</v>
      </c>
      <c r="J84"/>
      <c r="K84"/>
      <c r="L84"/>
      <c r="M84"/>
      <c r="N84"/>
      <c r="O84"/>
      <c r="P84"/>
      <c r="Q84"/>
      <c r="R84" s="35" t="s">
        <v>38</v>
      </c>
      <c r="S84" s="36" t="s">
        <v>56</v>
      </c>
      <c r="T84" s="49" t="s">
        <v>137</v>
      </c>
      <c r="U84"/>
      <c r="V84" s="35" t="s">
        <v>38</v>
      </c>
      <c r="W84" s="36" t="s">
        <v>56</v>
      </c>
      <c r="X84" s="38" t="s">
        <v>139</v>
      </c>
      <c r="Y84"/>
      <c r="Z84" s="35" t="s">
        <v>38</v>
      </c>
      <c r="AA84" s="36" t="s">
        <v>56</v>
      </c>
      <c r="AB84" s="38" t="s">
        <v>139</v>
      </c>
      <c r="AC84"/>
      <c r="AD84" s="35" t="s">
        <v>38</v>
      </c>
      <c r="AE84" s="36" t="s">
        <v>158</v>
      </c>
      <c r="AF84" s="38" t="s">
        <v>159</v>
      </c>
      <c r="AG84"/>
      <c r="AH84" s="35" t="s">
        <v>38</v>
      </c>
      <c r="AI84" s="36" t="s">
        <v>160</v>
      </c>
      <c r="AJ84" s="36">
        <v>6000</v>
      </c>
      <c r="AK84"/>
      <c r="AL84"/>
      <c r="AM84"/>
      <c r="AN84"/>
      <c r="AO84"/>
      <c r="AP84"/>
      <c r="AQ84"/>
      <c r="AR84"/>
      <c r="AS84"/>
      <c r="AT84"/>
      <c r="AU84"/>
      <c r="AV84"/>
      <c r="AW84"/>
      <c r="AX84" s="35" t="s">
        <v>38</v>
      </c>
      <c r="AY84" s="47" t="s">
        <v>200</v>
      </c>
      <c r="AZ84" s="49" t="s">
        <v>242</v>
      </c>
      <c r="BA84"/>
    </row>
    <row r="85" spans="1:53" s="7" customFormat="1" ht="15.75">
      <c r="A85"/>
      <c r="B85" s="35" t="s">
        <v>38</v>
      </c>
      <c r="C85" s="36" t="s">
        <v>125</v>
      </c>
      <c r="D85" s="38" t="s">
        <v>136</v>
      </c>
      <c r="E85"/>
      <c r="F85" s="35" t="s">
        <v>38</v>
      </c>
      <c r="G85" s="36" t="s">
        <v>125</v>
      </c>
      <c r="H85" s="38" t="s">
        <v>136</v>
      </c>
      <c r="J85"/>
      <c r="K85"/>
      <c r="L85"/>
      <c r="M85"/>
      <c r="N85"/>
      <c r="O85"/>
      <c r="P85"/>
      <c r="Q85"/>
      <c r="R85" s="35" t="s">
        <v>38</v>
      </c>
      <c r="S85" s="36" t="s">
        <v>59</v>
      </c>
      <c r="T85" s="49" t="s">
        <v>243</v>
      </c>
      <c r="U85"/>
      <c r="V85" s="35" t="s">
        <v>38</v>
      </c>
      <c r="W85" s="36" t="s">
        <v>59</v>
      </c>
      <c r="X85" s="38" t="s">
        <v>141</v>
      </c>
      <c r="Y85"/>
      <c r="Z85" s="35" t="s">
        <v>38</v>
      </c>
      <c r="AA85" s="36" t="s">
        <v>59</v>
      </c>
      <c r="AB85" s="38" t="s">
        <v>141</v>
      </c>
      <c r="AC85"/>
      <c r="AD85"/>
      <c r="AE85"/>
      <c r="AF85"/>
      <c r="AG85"/>
      <c r="AH85" s="35" t="s">
        <v>38</v>
      </c>
      <c r="AI85" s="36" t="s">
        <v>255</v>
      </c>
      <c r="AJ85" s="36">
        <v>100</v>
      </c>
      <c r="AK85"/>
      <c r="AL85"/>
      <c r="AM85"/>
      <c r="AN85"/>
      <c r="AO85"/>
      <c r="AP85"/>
      <c r="AQ85"/>
      <c r="AR85"/>
      <c r="AS85"/>
      <c r="AT85"/>
      <c r="AU85"/>
      <c r="AV85"/>
      <c r="AW85"/>
      <c r="AX85" s="35" t="s">
        <v>38</v>
      </c>
      <c r="AY85" s="47" t="s">
        <v>201</v>
      </c>
      <c r="AZ85" s="52">
        <f>ROUND(AZ80+AZ86*AZ82/1000, 0)</f>
        <v>355000</v>
      </c>
      <c r="BA85"/>
    </row>
    <row r="86" spans="1:53" s="7" customFormat="1" ht="15.75">
      <c r="A86"/>
      <c r="B86" s="41" t="s">
        <v>38</v>
      </c>
      <c r="C86" s="42" t="s">
        <v>127</v>
      </c>
      <c r="D86" s="38" t="s">
        <v>63</v>
      </c>
      <c r="E86"/>
      <c r="F86" s="41" t="s">
        <v>38</v>
      </c>
      <c r="G86" s="42" t="s">
        <v>127</v>
      </c>
      <c r="H86" s="38" t="s">
        <v>64</v>
      </c>
      <c r="J86"/>
      <c r="K86"/>
      <c r="L86"/>
      <c r="M86"/>
      <c r="N86"/>
      <c r="O86"/>
      <c r="P86"/>
      <c r="Q86"/>
      <c r="R86" s="35" t="s">
        <v>38</v>
      </c>
      <c r="S86" s="36" t="s">
        <v>60</v>
      </c>
      <c r="T86" s="49" t="s">
        <v>241</v>
      </c>
      <c r="U86"/>
      <c r="V86" s="35" t="s">
        <v>38</v>
      </c>
      <c r="W86" s="36" t="s">
        <v>60</v>
      </c>
      <c r="X86" s="38" t="s">
        <v>140</v>
      </c>
      <c r="Y86"/>
      <c r="Z86" s="35" t="s">
        <v>38</v>
      </c>
      <c r="AA86" s="36" t="s">
        <v>60</v>
      </c>
      <c r="AB86" s="38" t="s">
        <v>140</v>
      </c>
      <c r="AC86"/>
      <c r="AD86"/>
      <c r="AE86"/>
      <c r="AF86"/>
      <c r="AG86"/>
      <c r="AH86" s="35" t="s">
        <v>38</v>
      </c>
      <c r="AI86" s="36" t="s">
        <v>256</v>
      </c>
      <c r="AJ86" s="36">
        <v>25500</v>
      </c>
      <c r="AK86"/>
      <c r="AL86"/>
      <c r="AM86"/>
      <c r="AN86"/>
      <c r="AO86"/>
      <c r="AP86"/>
      <c r="AQ86"/>
      <c r="AR86"/>
      <c r="AS86"/>
      <c r="AT86"/>
      <c r="AU86"/>
      <c r="AV86"/>
      <c r="AW86"/>
      <c r="AX86" s="41" t="s">
        <v>38</v>
      </c>
      <c r="AY86" s="53" t="s">
        <v>202</v>
      </c>
      <c r="AZ86" s="52">
        <f>ROUND((AZ79-AZ80)*1000/(AZ82-AZ81),0)</f>
        <v>6000</v>
      </c>
      <c r="BA86"/>
    </row>
    <row r="87" spans="1:53" s="7" customFormat="1"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38</v>
      </c>
      <c r="AY87" s="47" t="s">
        <v>203</v>
      </c>
      <c r="AZ87" s="52">
        <f>ROUND(AZ84+AZ88*AZ82/1000,0)</f>
        <v>285016</v>
      </c>
      <c r="BA87"/>
    </row>
    <row r="88" spans="1:53" s="7" customFormat="1" ht="15.7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s="41" t="s">
        <v>38</v>
      </c>
      <c r="AY88" s="53" t="s">
        <v>204</v>
      </c>
      <c r="AZ88" s="52">
        <f>ROUND((AZ83-AZ84)*1000/(AZ82-AZ81),0)</f>
        <v>4667</v>
      </c>
      <c r="BA88"/>
    </row>
    <row r="89" spans="1:53" s="7" customFormat="1"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s="35" t="s">
        <v>38</v>
      </c>
      <c r="AY89" s="36" t="s">
        <v>226</v>
      </c>
      <c r="AZ89" s="49" t="s">
        <v>232</v>
      </c>
      <c r="BA89"/>
    </row>
    <row r="90" spans="1:53" s="7" customFormat="1"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s="35" t="s">
        <v>38</v>
      </c>
      <c r="AY90" s="36" t="s">
        <v>228</v>
      </c>
      <c r="AZ90" s="49" t="s">
        <v>232</v>
      </c>
      <c r="BA90"/>
    </row>
    <row r="91" spans="1:53" s="7" customFormat="1"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s="35" t="s">
        <v>38</v>
      </c>
      <c r="AY91" s="36" t="s">
        <v>229</v>
      </c>
      <c r="AZ91" s="49" t="s">
        <v>230</v>
      </c>
      <c r="BA91"/>
    </row>
    <row r="92" spans="1:53" s="7" customFormat="1"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10">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L77 P77 AZ77 AB77 X77 AN1 AJ1 AF1 AB1 H77 AR1 L1 P1 X1 T1 H1 D1 D77 AV1 AZ1 AV77 AF77 AJ77 AN77 AR77 T77">
      <formula1>"ENABLE,DISABLE"</formula1>
    </dataValidation>
    <dataValidation type="list" allowBlank="1" showInputMessage="1" showErrorMessage="1" sqref="AE55:AE57 C27:C29 AU62:AU64 AU13:AU15 AU69:AU71 AU20:AU22 AU27:AU29 AU34:AU36 AU41:AU43 AU48:AU50 AU55:AU57 C13:C15 AQ62:AQ64 AQ13:AQ15 AQ69:AQ71 AQ20:AQ22 AQ27:AQ29 AQ34:AQ36 AQ41:AQ43 AQ48:AQ50 AQ55:AQ57 C34:C36 AM62:AM64 AM13:AM15 AM69:AM71 AM20:AM22 AM27:AM29 AM34:AM36 AM41:AM43 AM48:AM50 AM55:AM57 AI6:AI8 AI62:AI64 AI13:AI15 AI69:AI71 AI20:AI22 AI27:AI29 AI34:AI36 AI41:AI43 AI48:AI50 AI55:AI57 AA62:AA64 AA13:AA15 AA69:AA71 AA20:AA22 AA27:AA29 AA34:AA36 AA41:AA43 AA6:AA8 AA48:AA50 AA55:AA57 AY27:AY29 AY34:AY36 AY41:AY43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AY48:AY50 AY55:AY57 C69:C71 O62:O64 O55:O57 O48:O50 O6:O8 O41:O43 O34:O36 O27:O29 O20:O22 O69:O71 O13:O15 G13:G15 AE6:AE8 AE62:AE64 AE13:AE15 AE69:AE71 AE20:AE22 AE27:AE29 AE34:AE36 AE41:AE43 AE48:AE50 C20:C22 AY62:AY64 AY13:AY15 AY69:AY71 AY20:AY22 C6:C8">
      <formula1>"NULL, CPU0 loading(%), Wifi usage(Kb/s), EXIT, mtktscpu, mtktsabb, mtktspmic, mtktsbattery, mtktspa, mtktswmt, mtktsAP, mtktsbuck, mtktsbattery2, mtktsxtal"</formula1>
    </dataValidation>
    <dataValidation type="list" allowBlank="1" showInputMessage="1" showErrorMessage="1" sqref="AE1 AU1 AQ1 AM1 AI1 AA1 W1 S1 O1 K1 G1 C1 AY1">
      <formula1>'6755_tz'!A2:A97</formula1>
    </dataValidation>
    <dataValidation type="list" allowBlank="1" showInputMessage="1" sqref="AE61 AQ5 AU68 AU12 AU19 AU26 AU33 AU40 AU47 AU54 AU61 AM5 AQ68 AQ12 AQ19 AQ26 AQ33 AQ40 AQ47 AQ54 AQ61 C33 AM68 AM12 AM19 AM26 AM33 AM40 AM47 AM54 AM61 AI5 AI68 AI12 AI19 AI26 AI33 AI40 AI47 AI54 AI61 AA5 AA12 AA19 AA26 AA33 AA40 AA47 AA54 AA61 AA68 AY33 AY40 C40 W68 W61 W54 W47 W40 W33 W26 W19 W5 W12 S68 S61 S54 S47 S40 S33 S26 S19 S5 S12 O68 O61 O54 O47 O40 O33 O26 O19 O5 O12 K68 K61 K54 K47 K40 K33 K26 K19 K5 K12 G68 G61 G54 G47 G40 G33 G26 G19 G5 G12 C68 C61 C54 C47 AY47 AY54 AY61 AE5 AE68 AE12 AE19 AE26 AE33 AE40 AE47 AE54 AU5 AY68 AY12 AY19 AY26 AY5">
      <formula1>'6755_coolers'!A2:A137</formula1>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qref="C19 C5 C26 C12">
      <formula1>'[5]6595_coolers'!A2:A136</formula1>
    </dataValidation>
    <dataValidation type="list" allowBlank="1" showInputMessage="1" showErrorMessage="1" sqref="AM6:AM8 AQ6:AQ8 AU6:AU8 AY6:AY8">
      <formula1>"NULL, CPU0 loading(%), Wifi usage(Kb/s), &lt; Mobile usage(Kb/s), EXIT, mtktscpu, mtktsabb, mtktspmic, mtktsbattery, mtktspa, mtktswmt, mtktsAP, mtktsbuck, mtktsbattery2, mtktsxtal"</formula1>
    </dataValidation>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sheetPr codeName="Sheet49"/>
  <dimension ref="A1:BA122"/>
  <sheetViews>
    <sheetView zoomScale="90" zoomScaleNormal="90" zoomScaleSheetLayoutView="100" workbookViewId="0">
      <selection activeCell="T32" sqref="T32"/>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3.5703125" style="33" bestFit="1" customWidth="1"/>
    <col min="43" max="43" width="15.28515625" style="33" bestFit="1" customWidth="1"/>
    <col min="44" max="44" width="7.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37</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206</v>
      </c>
      <c r="AR1" s="4" t="s">
        <v>36</v>
      </c>
      <c r="AS1" s="6"/>
      <c r="AT1" s="2" t="s">
        <v>35</v>
      </c>
      <c r="AU1" s="3" t="s">
        <v>207</v>
      </c>
      <c r="AV1" s="4" t="s">
        <v>36</v>
      </c>
      <c r="AW1" s="6"/>
      <c r="AX1" s="2" t="s">
        <v>35</v>
      </c>
      <c r="AY1" s="3" t="s">
        <v>208</v>
      </c>
      <c r="AZ1" s="4" t="s">
        <v>36</v>
      </c>
      <c r="BA1"/>
    </row>
    <row r="2" spans="1:53" ht="30.75" customHeight="1">
      <c r="B2" s="2" t="s">
        <v>9</v>
      </c>
      <c r="C2" s="3">
        <v>1</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1</v>
      </c>
      <c r="AB2" s="8"/>
      <c r="AC2" s="10"/>
      <c r="AD2" s="2" t="s">
        <v>9</v>
      </c>
      <c r="AE2" s="3">
        <v>1</v>
      </c>
      <c r="AF2" s="8"/>
      <c r="AG2" s="10"/>
      <c r="AH2" s="2" t="s">
        <v>9</v>
      </c>
      <c r="AI2" s="3">
        <v>1</v>
      </c>
      <c r="AJ2" s="8"/>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120000</v>
      </c>
      <c r="L3" s="14"/>
      <c r="M3" s="10"/>
      <c r="N3" s="12" t="s">
        <v>7</v>
      </c>
      <c r="O3" s="13">
        <v>120000</v>
      </c>
      <c r="P3" s="14"/>
      <c r="Q3" s="10"/>
      <c r="R3" s="12" t="s">
        <v>7</v>
      </c>
      <c r="S3" s="13">
        <v>117000</v>
      </c>
      <c r="T3" s="14"/>
      <c r="U3" s="10"/>
      <c r="V3" s="12" t="s">
        <v>7</v>
      </c>
      <c r="W3" s="13">
        <v>120000</v>
      </c>
      <c r="X3" s="14"/>
      <c r="Y3" s="10"/>
      <c r="Z3" s="12" t="s">
        <v>7</v>
      </c>
      <c r="AA3" s="13">
        <v>120000</v>
      </c>
      <c r="AB3" s="14"/>
      <c r="AC3" s="10"/>
      <c r="AD3" s="12" t="s">
        <v>7</v>
      </c>
      <c r="AE3" s="13">
        <v>120000</v>
      </c>
      <c r="AF3" s="14"/>
      <c r="AG3" s="10"/>
      <c r="AH3" s="12" t="s">
        <v>7</v>
      </c>
      <c r="AI3" s="13">
        <v>120000</v>
      </c>
      <c r="AJ3" s="14"/>
      <c r="AK3" s="10"/>
      <c r="AL3" s="12" t="s">
        <v>7</v>
      </c>
      <c r="AM3" s="13">
        <v>0</v>
      </c>
      <c r="AN3" s="14"/>
      <c r="AO3" s="10"/>
      <c r="AP3" s="12" t="s">
        <v>7</v>
      </c>
      <c r="AQ3" s="13">
        <v>0</v>
      </c>
      <c r="AR3" s="14"/>
      <c r="AS3" s="10"/>
      <c r="AT3" s="12" t="s">
        <v>7</v>
      </c>
      <c r="AU3" s="13">
        <v>0</v>
      </c>
      <c r="AV3" s="14"/>
      <c r="AW3" s="10"/>
      <c r="AX3" s="12" t="s">
        <v>7</v>
      </c>
      <c r="AY3" s="13">
        <v>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14"/>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32</v>
      </c>
      <c r="AB5" s="14"/>
      <c r="AC5" s="10"/>
      <c r="AD5" s="12" t="s">
        <v>5</v>
      </c>
      <c r="AE5" s="13" t="s">
        <v>105</v>
      </c>
      <c r="AF5" s="14"/>
      <c r="AG5" s="10"/>
      <c r="AH5" s="12" t="s">
        <v>5</v>
      </c>
      <c r="AI5" s="13" t="s">
        <v>106</v>
      </c>
      <c r="AJ5" s="14"/>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4</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200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27">
        <v>4</v>
      </c>
      <c r="AB74" s="28"/>
      <c r="AC74" s="25"/>
      <c r="AD74" s="26" t="s">
        <v>10</v>
      </c>
      <c r="AE74" s="27">
        <v>1</v>
      </c>
      <c r="AF74" s="28"/>
      <c r="AG74" s="25"/>
      <c r="AH74" s="26" t="s">
        <v>10</v>
      </c>
      <c r="AI74" s="27">
        <v>4</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132</v>
      </c>
      <c r="H77" s="4" t="s">
        <v>36</v>
      </c>
      <c r="J77" s="35" t="s">
        <v>5</v>
      </c>
      <c r="K77" s="36" t="s">
        <v>33</v>
      </c>
      <c r="L77" s="4" t="s">
        <v>37</v>
      </c>
      <c r="M77"/>
      <c r="N77" s="35" t="s">
        <v>5</v>
      </c>
      <c r="O77" s="36" t="s">
        <v>19</v>
      </c>
      <c r="P77" s="4" t="s">
        <v>37</v>
      </c>
      <c r="Q77"/>
      <c r="R77" s="35" t="s">
        <v>5</v>
      </c>
      <c r="S77" s="36" t="s">
        <v>51</v>
      </c>
      <c r="T77" s="4" t="s">
        <v>37</v>
      </c>
      <c r="U77"/>
      <c r="V77" s="35" t="s">
        <v>5</v>
      </c>
      <c r="W77" s="36" t="s">
        <v>52</v>
      </c>
      <c r="X77" s="4" t="s">
        <v>37</v>
      </c>
      <c r="Y77"/>
      <c r="Z77" s="35" t="s">
        <v>5</v>
      </c>
      <c r="AA77" s="36" t="s">
        <v>53</v>
      </c>
      <c r="AB77" s="4" t="s">
        <v>37</v>
      </c>
      <c r="AC77"/>
      <c r="AD77" s="35" t="s">
        <v>5</v>
      </c>
      <c r="AE77" s="36" t="s">
        <v>143</v>
      </c>
      <c r="AF77" s="4" t="s">
        <v>37</v>
      </c>
      <c r="AG77"/>
      <c r="AH77" s="35" t="s">
        <v>5</v>
      </c>
      <c r="AI77" s="36" t="s">
        <v>144</v>
      </c>
      <c r="AJ77" s="4" t="s">
        <v>36</v>
      </c>
      <c r="AK77"/>
      <c r="AL77" s="35" t="s">
        <v>5</v>
      </c>
      <c r="AM77" s="36" t="s">
        <v>145</v>
      </c>
      <c r="AN77" s="4" t="s">
        <v>37</v>
      </c>
      <c r="AO77"/>
      <c r="AP77" s="35" t="s">
        <v>5</v>
      </c>
      <c r="AQ77" s="36" t="s">
        <v>145</v>
      </c>
      <c r="AR77" s="4" t="s">
        <v>37</v>
      </c>
      <c r="AS77"/>
      <c r="AT77" s="35" t="s">
        <v>5</v>
      </c>
      <c r="AU77" s="36" t="s">
        <v>145</v>
      </c>
      <c r="AV77" s="4" t="s">
        <v>37</v>
      </c>
      <c r="AW77"/>
      <c r="AX77" s="35" t="s">
        <v>5</v>
      </c>
      <c r="AY77" s="47" t="s">
        <v>193</v>
      </c>
      <c r="AZ77" s="48" t="s">
        <v>36</v>
      </c>
      <c r="BA77"/>
    </row>
    <row r="78" spans="1:53" s="7" customFormat="1" ht="15.75">
      <c r="A78"/>
      <c r="B78" s="35" t="s">
        <v>38</v>
      </c>
      <c r="C78" s="36" t="s">
        <v>126</v>
      </c>
      <c r="D78" s="38" t="s">
        <v>120</v>
      </c>
      <c r="E78"/>
      <c r="F78" s="35" t="s">
        <v>38</v>
      </c>
      <c r="G78" s="36" t="s">
        <v>126</v>
      </c>
      <c r="H78" s="38" t="s">
        <v>120</v>
      </c>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146</v>
      </c>
      <c r="AG78"/>
      <c r="AH78" s="35" t="s">
        <v>38</v>
      </c>
      <c r="AI78" s="36" t="s">
        <v>42</v>
      </c>
      <c r="AJ78" s="36">
        <v>0</v>
      </c>
      <c r="AK78"/>
      <c r="AL78" s="35" t="s">
        <v>38</v>
      </c>
      <c r="AM78" s="36" t="s">
        <v>147</v>
      </c>
      <c r="AN78" s="36">
        <v>1</v>
      </c>
      <c r="AO78"/>
      <c r="AP78" s="35" t="s">
        <v>38</v>
      </c>
      <c r="AQ78" s="36" t="s">
        <v>147</v>
      </c>
      <c r="AR78" s="36">
        <v>2</v>
      </c>
      <c r="AS78"/>
      <c r="AT78" s="35" t="s">
        <v>38</v>
      </c>
      <c r="AU78" s="36" t="s">
        <v>147</v>
      </c>
      <c r="AV78" s="36">
        <v>3</v>
      </c>
      <c r="AW78"/>
      <c r="AX78" s="35" t="s">
        <v>38</v>
      </c>
      <c r="AY78" s="47" t="s">
        <v>194</v>
      </c>
      <c r="AZ78" s="49" t="s">
        <v>63</v>
      </c>
      <c r="BA78"/>
    </row>
    <row r="79" spans="1:53" s="7" customFormat="1" ht="15.75">
      <c r="A79"/>
      <c r="B79" s="35" t="s">
        <v>38</v>
      </c>
      <c r="C79" s="36" t="s">
        <v>125</v>
      </c>
      <c r="D79" s="38" t="s">
        <v>134</v>
      </c>
      <c r="E79"/>
      <c r="F79" s="35" t="s">
        <v>38</v>
      </c>
      <c r="G79" s="36" t="s">
        <v>125</v>
      </c>
      <c r="H79" s="38" t="s">
        <v>134</v>
      </c>
      <c r="J79" s="35" t="s">
        <v>38</v>
      </c>
      <c r="K79" s="36" t="s">
        <v>39</v>
      </c>
      <c r="L79" s="36">
        <v>-1</v>
      </c>
      <c r="M79"/>
      <c r="N79" s="35" t="s">
        <v>38</v>
      </c>
      <c r="O79" s="36" t="s">
        <v>44</v>
      </c>
      <c r="P79" s="38" t="s">
        <v>45</v>
      </c>
      <c r="Q79"/>
      <c r="R79" s="35" t="s">
        <v>38</v>
      </c>
      <c r="S79" s="36" t="s">
        <v>54</v>
      </c>
      <c r="T79" s="38" t="s">
        <v>137</v>
      </c>
      <c r="U79"/>
      <c r="V79" s="35" t="s">
        <v>38</v>
      </c>
      <c r="W79" s="36" t="s">
        <v>54</v>
      </c>
      <c r="X79" s="38" t="s">
        <v>115</v>
      </c>
      <c r="Y79"/>
      <c r="Z79" s="35" t="s">
        <v>38</v>
      </c>
      <c r="AA79" s="36" t="s">
        <v>54</v>
      </c>
      <c r="AB79" s="38" t="s">
        <v>118</v>
      </c>
      <c r="AC79"/>
      <c r="AD79" s="35" t="s">
        <v>38</v>
      </c>
      <c r="AE79" s="36" t="s">
        <v>148</v>
      </c>
      <c r="AF79" s="38" t="s">
        <v>64</v>
      </c>
      <c r="AG79"/>
      <c r="AH79" s="35" t="s">
        <v>38</v>
      </c>
      <c r="AI79" s="36" t="s">
        <v>149</v>
      </c>
      <c r="AJ79" s="36">
        <v>400</v>
      </c>
      <c r="AK79"/>
      <c r="AL79" s="35" t="s">
        <v>38</v>
      </c>
      <c r="AM79" s="36" t="s">
        <v>150</v>
      </c>
      <c r="AN79" s="36">
        <v>1200</v>
      </c>
      <c r="AO79"/>
      <c r="AP79" s="35" t="s">
        <v>38</v>
      </c>
      <c r="AQ79" s="36" t="s">
        <v>150</v>
      </c>
      <c r="AR79" s="36">
        <v>600</v>
      </c>
      <c r="AS79"/>
      <c r="AT79" s="35" t="s">
        <v>38</v>
      </c>
      <c r="AU79" s="36" t="s">
        <v>150</v>
      </c>
      <c r="AV79" s="36">
        <v>300</v>
      </c>
      <c r="AW79"/>
      <c r="AX79" s="35" t="s">
        <v>38</v>
      </c>
      <c r="AY79" s="47" t="s">
        <v>195</v>
      </c>
      <c r="AZ79" s="49" t="s">
        <v>196</v>
      </c>
      <c r="BA79"/>
    </row>
    <row r="80" spans="1:53" s="7" customFormat="1" ht="15.75">
      <c r="A80"/>
      <c r="B80" s="35" t="s">
        <v>38</v>
      </c>
      <c r="C80" s="36" t="s">
        <v>126</v>
      </c>
      <c r="D80" s="38" t="s">
        <v>121</v>
      </c>
      <c r="E80"/>
      <c r="F80" s="35" t="s">
        <v>38</v>
      </c>
      <c r="G80" s="36" t="s">
        <v>126</v>
      </c>
      <c r="H80" s="38" t="s">
        <v>121</v>
      </c>
      <c r="J80" s="35" t="s">
        <v>38</v>
      </c>
      <c r="K80" s="36" t="s">
        <v>40</v>
      </c>
      <c r="L80" s="36">
        <v>-1</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142</v>
      </c>
      <c r="AG80"/>
      <c r="AH80" s="35" t="s">
        <v>38</v>
      </c>
      <c r="AI80" s="36" t="s">
        <v>151</v>
      </c>
      <c r="AJ80" s="36">
        <v>100</v>
      </c>
      <c r="AK80"/>
      <c r="AL80" s="35" t="s">
        <v>38</v>
      </c>
      <c r="AM80" s="36" t="s">
        <v>152</v>
      </c>
      <c r="AN80" s="36">
        <v>300</v>
      </c>
      <c r="AO80"/>
      <c r="AP80" s="35" t="s">
        <v>38</v>
      </c>
      <c r="AQ80" s="36" t="s">
        <v>152</v>
      </c>
      <c r="AR80" s="36">
        <v>300</v>
      </c>
      <c r="AS80"/>
      <c r="AT80" s="35" t="s">
        <v>38</v>
      </c>
      <c r="AU80" s="36" t="s">
        <v>152</v>
      </c>
      <c r="AV80" s="36">
        <v>300</v>
      </c>
      <c r="AW80"/>
      <c r="AX80" s="35" t="s">
        <v>38</v>
      </c>
      <c r="AY80" s="47" t="s">
        <v>197</v>
      </c>
      <c r="AZ80" s="49" t="s">
        <v>231</v>
      </c>
      <c r="BA80"/>
    </row>
    <row r="81" spans="1:53" s="7" customFormat="1" ht="15.75">
      <c r="A81"/>
      <c r="B81" s="35" t="s">
        <v>38</v>
      </c>
      <c r="C81" s="36" t="s">
        <v>125</v>
      </c>
      <c r="D81" s="38" t="s">
        <v>122</v>
      </c>
      <c r="E81"/>
      <c r="F81" s="35" t="s">
        <v>38</v>
      </c>
      <c r="G81" s="36" t="s">
        <v>125</v>
      </c>
      <c r="H81" s="38" t="s">
        <v>122</v>
      </c>
      <c r="J81" s="35" t="s">
        <v>38</v>
      </c>
      <c r="K81" s="36" t="s">
        <v>41</v>
      </c>
      <c r="L81" s="36">
        <v>-1</v>
      </c>
      <c r="M81"/>
      <c r="N81" s="35" t="s">
        <v>38</v>
      </c>
      <c r="O81" s="36" t="s">
        <v>48</v>
      </c>
      <c r="P81" s="38" t="s">
        <v>49</v>
      </c>
      <c r="Q81"/>
      <c r="R81" s="35" t="s">
        <v>38</v>
      </c>
      <c r="S81" s="36" t="s">
        <v>66</v>
      </c>
      <c r="T81" s="38" t="s">
        <v>116</v>
      </c>
      <c r="U81"/>
      <c r="V81" s="35" t="s">
        <v>38</v>
      </c>
      <c r="W81" s="36" t="s">
        <v>66</v>
      </c>
      <c r="X81" s="38" t="s">
        <v>116</v>
      </c>
      <c r="Y81"/>
      <c r="Z81" s="35" t="s">
        <v>38</v>
      </c>
      <c r="AA81" s="36" t="s">
        <v>66</v>
      </c>
      <c r="AB81" s="38" t="s">
        <v>116</v>
      </c>
      <c r="AC81"/>
      <c r="AD81" s="35" t="s">
        <v>38</v>
      </c>
      <c r="AE81" s="36" t="s">
        <v>153</v>
      </c>
      <c r="AF81" s="38" t="s">
        <v>64</v>
      </c>
      <c r="AG81"/>
      <c r="AH81" s="35" t="s">
        <v>38</v>
      </c>
      <c r="AI81" s="36" t="s">
        <v>154</v>
      </c>
      <c r="AJ81" s="36">
        <v>100</v>
      </c>
      <c r="AK81"/>
      <c r="AL81"/>
      <c r="AM81"/>
      <c r="AN81"/>
      <c r="AO81"/>
      <c r="AP81"/>
      <c r="AQ81"/>
      <c r="AR81"/>
      <c r="AS81"/>
      <c r="AT81"/>
      <c r="AU81"/>
      <c r="AV81"/>
      <c r="AW81"/>
      <c r="AX81" s="35" t="s">
        <v>38</v>
      </c>
      <c r="AY81" s="47" t="s">
        <v>198</v>
      </c>
      <c r="AZ81" s="49" t="s">
        <v>236</v>
      </c>
      <c r="BA81"/>
    </row>
    <row r="82" spans="1:53" s="7" customFormat="1" ht="15.75">
      <c r="A82"/>
      <c r="B82" s="35" t="s">
        <v>38</v>
      </c>
      <c r="C82" s="36" t="s">
        <v>126</v>
      </c>
      <c r="D82" s="38" t="s">
        <v>123</v>
      </c>
      <c r="E82"/>
      <c r="F82" s="35" t="s">
        <v>38</v>
      </c>
      <c r="G82" s="36" t="s">
        <v>126</v>
      </c>
      <c r="H82" s="38" t="s">
        <v>123</v>
      </c>
      <c r="J82"/>
      <c r="K82"/>
      <c r="L82"/>
      <c r="M82"/>
      <c r="N82" s="35" t="s">
        <v>38</v>
      </c>
      <c r="O82" s="36" t="s">
        <v>50</v>
      </c>
      <c r="P82" s="38" t="s">
        <v>47</v>
      </c>
      <c r="Q82"/>
      <c r="R82" s="35" t="s">
        <v>38</v>
      </c>
      <c r="S82" s="36" t="s">
        <v>57</v>
      </c>
      <c r="T82" s="38" t="s">
        <v>58</v>
      </c>
      <c r="U82"/>
      <c r="V82" s="35" t="s">
        <v>38</v>
      </c>
      <c r="W82" s="36" t="s">
        <v>57</v>
      </c>
      <c r="X82" s="38" t="s">
        <v>58</v>
      </c>
      <c r="Y82"/>
      <c r="Z82" s="35" t="s">
        <v>38</v>
      </c>
      <c r="AA82" s="36" t="s">
        <v>57</v>
      </c>
      <c r="AB82" s="38" t="s">
        <v>58</v>
      </c>
      <c r="AC82"/>
      <c r="AD82" s="35" t="s">
        <v>38</v>
      </c>
      <c r="AE82" s="36" t="s">
        <v>50</v>
      </c>
      <c r="AF82" s="38" t="s">
        <v>136</v>
      </c>
      <c r="AG82"/>
      <c r="AH82" s="35" t="s">
        <v>38</v>
      </c>
      <c r="AI82" s="36" t="s">
        <v>155</v>
      </c>
      <c r="AJ82" s="36">
        <v>200</v>
      </c>
      <c r="AK82"/>
      <c r="AL82"/>
      <c r="AM82"/>
      <c r="AN82"/>
      <c r="AO82"/>
      <c r="AP82"/>
      <c r="AQ82"/>
      <c r="AR82"/>
      <c r="AS82"/>
      <c r="AT82"/>
      <c r="AU82"/>
      <c r="AV82"/>
      <c r="AW82"/>
      <c r="AX82" s="35" t="s">
        <v>38</v>
      </c>
      <c r="AY82" s="47" t="s">
        <v>237</v>
      </c>
      <c r="AZ82" s="49" t="s">
        <v>238</v>
      </c>
      <c r="BA82"/>
    </row>
    <row r="83" spans="1:53" s="7" customFormat="1" ht="15.75">
      <c r="A83"/>
      <c r="B83" s="35" t="s">
        <v>38</v>
      </c>
      <c r="C83" s="36" t="s">
        <v>125</v>
      </c>
      <c r="D83" s="38" t="s">
        <v>135</v>
      </c>
      <c r="E83"/>
      <c r="F83" s="35" t="s">
        <v>38</v>
      </c>
      <c r="G83" s="36" t="s">
        <v>125</v>
      </c>
      <c r="H83" s="38" t="s">
        <v>135</v>
      </c>
      <c r="J83"/>
      <c r="K83"/>
      <c r="L83"/>
      <c r="M83"/>
      <c r="N83"/>
      <c r="O83"/>
      <c r="P83"/>
      <c r="Q83"/>
      <c r="R83" s="35" t="s">
        <v>38</v>
      </c>
      <c r="S83" s="36" t="s">
        <v>55</v>
      </c>
      <c r="T83" s="38" t="s">
        <v>138</v>
      </c>
      <c r="U83"/>
      <c r="V83" s="35" t="s">
        <v>38</v>
      </c>
      <c r="W83" s="36" t="s">
        <v>55</v>
      </c>
      <c r="X83" s="38" t="s">
        <v>138</v>
      </c>
      <c r="Y83"/>
      <c r="Z83" s="35" t="s">
        <v>38</v>
      </c>
      <c r="AA83" s="36" t="s">
        <v>55</v>
      </c>
      <c r="AB83" s="38" t="s">
        <v>138</v>
      </c>
      <c r="AC83"/>
      <c r="AD83" s="35" t="s">
        <v>38</v>
      </c>
      <c r="AE83" s="36" t="s">
        <v>156</v>
      </c>
      <c r="AF83" s="38" t="s">
        <v>64</v>
      </c>
      <c r="AG83"/>
      <c r="AH83" s="35" t="s">
        <v>38</v>
      </c>
      <c r="AI83" s="36" t="s">
        <v>157</v>
      </c>
      <c r="AJ83" s="36">
        <v>100</v>
      </c>
      <c r="AK83"/>
      <c r="AL83"/>
      <c r="AM83"/>
      <c r="AN83"/>
      <c r="AO83"/>
      <c r="AP83"/>
      <c r="AQ83"/>
      <c r="AR83"/>
      <c r="AS83"/>
      <c r="AT83"/>
      <c r="AU83"/>
      <c r="AV83"/>
      <c r="AW83"/>
      <c r="AX83" s="35" t="s">
        <v>38</v>
      </c>
      <c r="AY83" s="47" t="s">
        <v>199</v>
      </c>
      <c r="AZ83" s="49" t="s">
        <v>240</v>
      </c>
      <c r="BA83"/>
    </row>
    <row r="84" spans="1:53" s="7" customFormat="1" ht="15.75">
      <c r="A84"/>
      <c r="B84" s="35" t="s">
        <v>38</v>
      </c>
      <c r="C84" s="36" t="s">
        <v>126</v>
      </c>
      <c r="D84" s="38" t="s">
        <v>124</v>
      </c>
      <c r="E84"/>
      <c r="F84" s="35" t="s">
        <v>38</v>
      </c>
      <c r="G84" s="36" t="s">
        <v>126</v>
      </c>
      <c r="H84" s="38" t="s">
        <v>124</v>
      </c>
      <c r="J84"/>
      <c r="K84"/>
      <c r="L84"/>
      <c r="M84"/>
      <c r="N84"/>
      <c r="O84"/>
      <c r="P84"/>
      <c r="Q84"/>
      <c r="R84" s="35" t="s">
        <v>38</v>
      </c>
      <c r="S84" s="36" t="s">
        <v>56</v>
      </c>
      <c r="T84" s="38" t="s">
        <v>139</v>
      </c>
      <c r="U84"/>
      <c r="V84" s="35" t="s">
        <v>38</v>
      </c>
      <c r="W84" s="36" t="s">
        <v>56</v>
      </c>
      <c r="X84" s="38" t="s">
        <v>139</v>
      </c>
      <c r="Y84"/>
      <c r="Z84" s="35" t="s">
        <v>38</v>
      </c>
      <c r="AA84" s="36" t="s">
        <v>56</v>
      </c>
      <c r="AB84" s="38" t="s">
        <v>139</v>
      </c>
      <c r="AC84"/>
      <c r="AD84" s="35" t="s">
        <v>38</v>
      </c>
      <c r="AE84" s="36" t="s">
        <v>158</v>
      </c>
      <c r="AF84" s="38" t="s">
        <v>159</v>
      </c>
      <c r="AG84"/>
      <c r="AH84" s="35" t="s">
        <v>38</v>
      </c>
      <c r="AI84" s="36" t="s">
        <v>160</v>
      </c>
      <c r="AJ84" s="36">
        <v>6000</v>
      </c>
      <c r="AK84"/>
      <c r="AL84"/>
      <c r="AM84"/>
      <c r="AN84"/>
      <c r="AO84"/>
      <c r="AP84"/>
      <c r="AQ84"/>
      <c r="AR84"/>
      <c r="AS84"/>
      <c r="AT84"/>
      <c r="AU84"/>
      <c r="AV84"/>
      <c r="AW84"/>
      <c r="AX84" s="35" t="s">
        <v>38</v>
      </c>
      <c r="AY84" s="47" t="s">
        <v>200</v>
      </c>
      <c r="AZ84" s="49" t="s">
        <v>242</v>
      </c>
      <c r="BA84"/>
    </row>
    <row r="85" spans="1:53" s="7" customFormat="1" ht="15.75">
      <c r="A85"/>
      <c r="B85" s="35" t="s">
        <v>38</v>
      </c>
      <c r="C85" s="36" t="s">
        <v>125</v>
      </c>
      <c r="D85" s="38" t="s">
        <v>136</v>
      </c>
      <c r="E85"/>
      <c r="F85" s="35" t="s">
        <v>38</v>
      </c>
      <c r="G85" s="36" t="s">
        <v>125</v>
      </c>
      <c r="H85" s="38" t="s">
        <v>136</v>
      </c>
      <c r="J85"/>
      <c r="K85"/>
      <c r="L85"/>
      <c r="M85"/>
      <c r="N85"/>
      <c r="O85"/>
      <c r="P85"/>
      <c r="Q85"/>
      <c r="R85" s="35" t="s">
        <v>38</v>
      </c>
      <c r="S85" s="36" t="s">
        <v>59</v>
      </c>
      <c r="T85" s="38" t="s">
        <v>141</v>
      </c>
      <c r="U85"/>
      <c r="V85" s="35" t="s">
        <v>38</v>
      </c>
      <c r="W85" s="36" t="s">
        <v>59</v>
      </c>
      <c r="X85" s="38" t="s">
        <v>141</v>
      </c>
      <c r="Y85"/>
      <c r="Z85" s="35" t="s">
        <v>38</v>
      </c>
      <c r="AA85" s="36" t="s">
        <v>59</v>
      </c>
      <c r="AB85" s="38" t="s">
        <v>141</v>
      </c>
      <c r="AC85"/>
      <c r="AD85"/>
      <c r="AE85"/>
      <c r="AF85"/>
      <c r="AG85"/>
      <c r="AH85" s="35" t="s">
        <v>38</v>
      </c>
      <c r="AI85" s="36" t="s">
        <v>255</v>
      </c>
      <c r="AJ85" s="36">
        <v>100</v>
      </c>
      <c r="AK85"/>
      <c r="AL85"/>
      <c r="AM85"/>
      <c r="AN85"/>
      <c r="AO85"/>
      <c r="AP85"/>
      <c r="AQ85"/>
      <c r="AR85"/>
      <c r="AS85"/>
      <c r="AT85"/>
      <c r="AU85"/>
      <c r="AV85"/>
      <c r="AW85"/>
      <c r="AX85" s="35" t="s">
        <v>38</v>
      </c>
      <c r="AY85" s="47" t="s">
        <v>201</v>
      </c>
      <c r="AZ85" s="52">
        <f>ROUND(AZ80+AZ86*AZ82/1000, 0)</f>
        <v>355000</v>
      </c>
      <c r="BA85"/>
    </row>
    <row r="86" spans="1:53" s="7" customFormat="1" ht="15.75">
      <c r="A86"/>
      <c r="B86" s="41" t="s">
        <v>38</v>
      </c>
      <c r="C86" s="42" t="s">
        <v>127</v>
      </c>
      <c r="D86" s="38" t="s">
        <v>63</v>
      </c>
      <c r="E86"/>
      <c r="F86" s="41" t="s">
        <v>38</v>
      </c>
      <c r="G86" s="42" t="s">
        <v>127</v>
      </c>
      <c r="H86" s="38" t="s">
        <v>64</v>
      </c>
      <c r="J86"/>
      <c r="K86"/>
      <c r="L86"/>
      <c r="M86"/>
      <c r="N86"/>
      <c r="O86"/>
      <c r="P86"/>
      <c r="Q86"/>
      <c r="R86" s="35" t="s">
        <v>38</v>
      </c>
      <c r="S86" s="36" t="s">
        <v>60</v>
      </c>
      <c r="T86" s="38" t="s">
        <v>140</v>
      </c>
      <c r="U86"/>
      <c r="V86" s="35" t="s">
        <v>38</v>
      </c>
      <c r="W86" s="36" t="s">
        <v>60</v>
      </c>
      <c r="X86" s="38" t="s">
        <v>140</v>
      </c>
      <c r="Y86"/>
      <c r="Z86" s="35" t="s">
        <v>38</v>
      </c>
      <c r="AA86" s="36" t="s">
        <v>60</v>
      </c>
      <c r="AB86" s="38" t="s">
        <v>140</v>
      </c>
      <c r="AC86"/>
      <c r="AD86"/>
      <c r="AE86"/>
      <c r="AF86"/>
      <c r="AG86"/>
      <c r="AH86" s="35" t="s">
        <v>38</v>
      </c>
      <c r="AI86" s="36" t="s">
        <v>256</v>
      </c>
      <c r="AJ86" s="36">
        <v>25500</v>
      </c>
      <c r="AK86"/>
      <c r="AL86"/>
      <c r="AM86"/>
      <c r="AN86"/>
      <c r="AO86"/>
      <c r="AP86"/>
      <c r="AQ86"/>
      <c r="AR86"/>
      <c r="AS86"/>
      <c r="AT86"/>
      <c r="AU86"/>
      <c r="AV86"/>
      <c r="AW86"/>
      <c r="AX86" s="41" t="s">
        <v>38</v>
      </c>
      <c r="AY86" s="53" t="s">
        <v>202</v>
      </c>
      <c r="AZ86" s="52">
        <f>ROUND((AZ79-AZ80)*1000/(AZ82-AZ81),0)</f>
        <v>6000</v>
      </c>
      <c r="BA86"/>
    </row>
    <row r="87" spans="1:53" s="7" customFormat="1" ht="15.75">
      <c r="A87"/>
      <c r="B87"/>
      <c r="C87"/>
      <c r="D87"/>
      <c r="E87"/>
      <c r="F87"/>
      <c r="G87"/>
      <c r="H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38</v>
      </c>
      <c r="AY87" s="47" t="s">
        <v>203</v>
      </c>
      <c r="AZ87" s="52">
        <f>ROUND(AZ84+AZ88*AZ82/1000,0)</f>
        <v>285016</v>
      </c>
      <c r="BA87"/>
    </row>
    <row r="88" spans="1:53" s="7" customFormat="1" ht="15.75">
      <c r="A88"/>
      <c r="B88"/>
      <c r="C88"/>
      <c r="D88"/>
      <c r="E88"/>
      <c r="F88"/>
      <c r="G88"/>
      <c r="H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s="41" t="s">
        <v>38</v>
      </c>
      <c r="AY88" s="53" t="s">
        <v>204</v>
      </c>
      <c r="AZ88" s="52">
        <f>ROUND((AZ83-AZ84)*1000/(AZ82-AZ81),0)</f>
        <v>4667</v>
      </c>
      <c r="BA88"/>
    </row>
    <row r="89" spans="1:53" s="7" customFormat="1"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s="35" t="s">
        <v>38</v>
      </c>
      <c r="AY89" s="36" t="s">
        <v>226</v>
      </c>
      <c r="AZ89" s="49" t="s">
        <v>232</v>
      </c>
      <c r="BA89"/>
    </row>
    <row r="90" spans="1:53" s="7" customFormat="1"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s="35" t="s">
        <v>38</v>
      </c>
      <c r="AY90" s="36" t="s">
        <v>228</v>
      </c>
      <c r="AZ90" s="49" t="s">
        <v>232</v>
      </c>
      <c r="BA90"/>
    </row>
    <row r="91" spans="1:53" s="7" customFormat="1"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s="35" t="s">
        <v>38</v>
      </c>
      <c r="AY91" s="36" t="s">
        <v>229</v>
      </c>
      <c r="AZ91" s="49" t="s">
        <v>230</v>
      </c>
      <c r="BA91"/>
    </row>
    <row r="92" spans="1:53" s="7" customFormat="1"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9">
    <dataValidation type="list" allowBlank="1" showInputMessage="1" showErrorMessage="1" sqref="L77 P77 T77 AB77 X77 AJ1 AF1 D77 H77 AR1 AN1 L1 P1 X1 T1 H1 D1 AB1 AV1 AZ1 AV77 AF77 AJ77 AN77 AR77 AZ77">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list" allowBlank="1" showInputMessage="1" sqref="AE61 AQ5 AU68 AU12 AU19 AU26 AU33 AU40 AU47 AU54 AU61 AM5 AQ68 AQ12 AQ19 AQ26 AQ33 AQ40 AQ47 AQ54 AQ61 AY40 AM68 AM12 AM19 AM26 AM33 AM40 AM47 AM54 AM61 AI5 AI68 AI12 AI19 AI26 AI33 AI40 AI47 AI54 AI61 AA5 AA12 AA19 AA26 AA33 AA40 AA47 AA54 AA61 AA68 AY47 C26 C40 W68 W61 W54 W47 W40 W33 W26 W19 W5 W12 S68 S61 S54 S47 S40 S33 S26 S19 S5 S12 O68 O61 O54 O47 O40 O33 O26 O19 O5 O12 K68 K61 K54 K47 K40 K33 K26 K19 K5 K12 G68 G61 G54 G47 G40 G33 G26 G19 G5 G12 C68 C61 C54 C47 C33 AY54 AY61 AE5 AE68 AE12 AE19 AE26 AE33 AE40 AE47 AE54 AU5 AY68 AY12 AY19 AY26 AY33 AY5">
      <formula1>'6755_coolers'!A2:A137</formula1>
    </dataValidation>
    <dataValidation type="list" allowBlank="1" showInputMessage="1" showErrorMessage="1" sqref="AE1 AU1 AQ1 AM1 AI1 AA1 W1 S1 O1 K1 G1 C1 AY1">
      <formula1>'6755_tz'!A2:A97</formula1>
    </dataValidation>
    <dataValidation type="list" allowBlank="1" showInputMessage="1" showErrorMessage="1" sqref="AE55:AE57 AQ6:AQ8 AU62:AU64 AU13:AU15 AU69:AU71 AU20:AU22 AU27:AU29 AU34:AU36 AU41:AU43 AU48:AU50 AU55:AU57 AM6:AM8 AQ62:AQ64 AQ13:AQ15 AQ69:AQ71 AQ20:AQ22 AQ27:AQ29 AQ34:AQ36 AQ41:AQ43 AQ48:AQ50 AQ55:AQ57 C6:C8 AM62:AM64 AM13:AM15 AM69:AM71 AM20:AM22 AM27:AM29 AM34:AM36 AM41:AM43 AM48:AM50 AM55:AM57 AI6:AI8 AI62:AI64 AI13:AI15 AI69:AI71 AI20:AI22 AI27:AI29 AI34:AI36 AI41:AI43 AI48:AI50 AI55:AI57 AA62:AA64 AA13:AA15 AA69:AA71 AA20:AA22 AA27:AA29 AA34:AA36 AA41:AA43 AA6:AA8 AA48:AA50 AA55:AA57 AY41:AY43 C27:C29 AY48:AY50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AY55:AY57 C34:C36 C69:C71 O62:O64 O55:O57 O48:O50 O6:O8 O41:O43 O34:O36 O27:O29 O20:O22 O69:O71 O13:O15 G13:G15 AE6:AE8 AE62:AE64 AE13:AE15 AE69:AE71 AE20:AE22 AE27:AE29 AE34:AE36 AE41:AE43 AE48:AE50 AU6:AU8 AY62:AY64 AY13:AY15 AY69:AY71 AY20:AY22 AY27:AY29 AY34:AY36 C13:C15 C20:C22 AY6:AY8">
      <formula1>"NULL, CPU0 loading(%), Wifi usage(Kb/s), EXIT, mtktscpu, mtktsabb, mtktspmic, mtktsbattery, mtktspa, mtktswmt, mtktsAP, mtktsbuck, mtktsbattery2, mtktsxtal"</formula1>
    </dataValidation>
    <dataValidation type="list" allowBlank="1" showInputMessage="1" sqref="C12 C5 C19">
      <formula1>'[6]6752_coolers'!A2:A134</formula1>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sheetPr codeName="Sheet1"/>
  <dimension ref="A1:C72"/>
  <sheetViews>
    <sheetView topLeftCell="A46" workbookViewId="0">
      <selection activeCell="A70" sqref="A70"/>
    </sheetView>
  </sheetViews>
  <sheetFormatPr defaultRowHeight="15.75"/>
  <cols>
    <col min="1" max="3" width="40.7109375" customWidth="1"/>
  </cols>
  <sheetData>
    <row r="1" spans="1:3">
      <c r="A1" t="s">
        <v>70</v>
      </c>
      <c r="B1" t="s">
        <v>71</v>
      </c>
      <c r="C1" t="s">
        <v>28</v>
      </c>
    </row>
    <row r="2" spans="1:3">
      <c r="A2" s="39" t="s">
        <v>4</v>
      </c>
    </row>
    <row r="3" spans="1:3">
      <c r="A3" s="39" t="s">
        <v>72</v>
      </c>
    </row>
    <row r="4" spans="1:3">
      <c r="A4" s="39" t="s">
        <v>73</v>
      </c>
    </row>
    <row r="5" spans="1:3">
      <c r="A5" s="39" t="s">
        <v>74</v>
      </c>
    </row>
    <row r="6" spans="1:3">
      <c r="A6" s="39" t="s">
        <v>75</v>
      </c>
    </row>
    <row r="7" spans="1:3">
      <c r="A7" s="39" t="s">
        <v>76</v>
      </c>
    </row>
    <row r="8" spans="1:3">
      <c r="A8" s="39" t="s">
        <v>77</v>
      </c>
    </row>
    <row r="9" spans="1:3">
      <c r="A9" s="39" t="s">
        <v>78</v>
      </c>
    </row>
    <row r="10" spans="1:3">
      <c r="A10" s="39" t="s">
        <v>79</v>
      </c>
    </row>
    <row r="11" spans="1:3">
      <c r="A11" s="39" t="s">
        <v>80</v>
      </c>
    </row>
    <row r="12" spans="1:3">
      <c r="A12" s="39" t="s">
        <v>81</v>
      </c>
    </row>
    <row r="13" spans="1:3">
      <c r="A13" s="39" t="s">
        <v>82</v>
      </c>
    </row>
    <row r="14" spans="1:3">
      <c r="A14" s="39" t="s">
        <v>83</v>
      </c>
    </row>
    <row r="15" spans="1:3">
      <c r="A15" s="39" t="s">
        <v>84</v>
      </c>
    </row>
    <row r="16" spans="1:3">
      <c r="A16" s="39" t="s">
        <v>85</v>
      </c>
    </row>
    <row r="17" spans="1:1">
      <c r="A17" s="39" t="s">
        <v>86</v>
      </c>
    </row>
    <row r="18" spans="1:1">
      <c r="A18" s="39" t="s">
        <v>87</v>
      </c>
    </row>
    <row r="19" spans="1:1">
      <c r="A19" s="39" t="s">
        <v>88</v>
      </c>
    </row>
    <row r="20" spans="1:1">
      <c r="A20" s="39" t="s">
        <v>89</v>
      </c>
    </row>
    <row r="21" spans="1:1">
      <c r="A21" s="39" t="s">
        <v>90</v>
      </c>
    </row>
    <row r="22" spans="1:1">
      <c r="A22" s="39" t="s">
        <v>91</v>
      </c>
    </row>
    <row r="23" spans="1:1">
      <c r="A23" s="39" t="s">
        <v>92</v>
      </c>
    </row>
    <row r="24" spans="1:1">
      <c r="A24" s="39" t="s">
        <v>93</v>
      </c>
    </row>
    <row r="25" spans="1:1">
      <c r="A25" s="39" t="s">
        <v>94</v>
      </c>
    </row>
    <row r="26" spans="1:1">
      <c r="A26" s="39" t="s">
        <v>95</v>
      </c>
    </row>
    <row r="27" spans="1:1">
      <c r="A27" s="39" t="s">
        <v>96</v>
      </c>
    </row>
    <row r="28" spans="1:1">
      <c r="A28" s="39" t="s">
        <v>61</v>
      </c>
    </row>
    <row r="29" spans="1:1">
      <c r="A29" s="39" t="s">
        <v>97</v>
      </c>
    </row>
    <row r="30" spans="1:1">
      <c r="A30" s="39" t="s">
        <v>98</v>
      </c>
    </row>
    <row r="31" spans="1:1">
      <c r="A31" s="39" t="s">
        <v>99</v>
      </c>
    </row>
    <row r="32" spans="1:1">
      <c r="A32" s="39" t="s">
        <v>100</v>
      </c>
    </row>
    <row r="33" spans="1:1">
      <c r="A33" s="39" t="s">
        <v>101</v>
      </c>
    </row>
    <row r="34" spans="1:1">
      <c r="A34" s="39" t="s">
        <v>102</v>
      </c>
    </row>
    <row r="35" spans="1:1">
      <c r="A35" s="39" t="s">
        <v>103</v>
      </c>
    </row>
    <row r="36" spans="1:1">
      <c r="A36" s="39" t="s">
        <v>104</v>
      </c>
    </row>
    <row r="37" spans="1:1">
      <c r="A37" s="39" t="s">
        <v>15</v>
      </c>
    </row>
    <row r="38" spans="1:1">
      <c r="A38" s="39" t="s">
        <v>0</v>
      </c>
    </row>
    <row r="39" spans="1:1">
      <c r="A39" s="39" t="s">
        <v>1</v>
      </c>
    </row>
    <row r="40" spans="1:1">
      <c r="A40" s="39" t="s">
        <v>17</v>
      </c>
    </row>
    <row r="41" spans="1:1">
      <c r="A41" s="39" t="s">
        <v>2</v>
      </c>
    </row>
    <row r="42" spans="1:1">
      <c r="A42" s="39" t="s">
        <v>16</v>
      </c>
    </row>
    <row r="43" spans="1:1">
      <c r="A43" s="39" t="s">
        <v>185</v>
      </c>
    </row>
    <row r="44" spans="1:1">
      <c r="A44" s="39" t="s">
        <v>105</v>
      </c>
    </row>
    <row r="45" spans="1:1">
      <c r="A45" s="39" t="s">
        <v>106</v>
      </c>
    </row>
    <row r="46" spans="1:1">
      <c r="A46" s="39" t="s">
        <v>107</v>
      </c>
    </row>
    <row r="47" spans="1:1">
      <c r="A47" s="39" t="s">
        <v>3</v>
      </c>
    </row>
    <row r="48" spans="1:1">
      <c r="A48" s="39" t="s">
        <v>108</v>
      </c>
    </row>
    <row r="49" spans="1:3">
      <c r="A49" s="39" t="s">
        <v>109</v>
      </c>
    </row>
    <row r="50" spans="1:3">
      <c r="A50" s="39" t="s">
        <v>110</v>
      </c>
    </row>
    <row r="51" spans="1:3">
      <c r="A51" s="39" t="s">
        <v>111</v>
      </c>
    </row>
    <row r="52" spans="1:3">
      <c r="A52" s="39" t="s">
        <v>33</v>
      </c>
      <c r="B52" t="s">
        <v>164</v>
      </c>
    </row>
    <row r="53" spans="1:3">
      <c r="A53" s="39" t="s">
        <v>112</v>
      </c>
      <c r="B53" t="s">
        <v>164</v>
      </c>
    </row>
    <row r="54" spans="1:3">
      <c r="A54" s="39" t="s">
        <v>113</v>
      </c>
      <c r="B54" t="s">
        <v>164</v>
      </c>
    </row>
    <row r="55" spans="1:3">
      <c r="A55" s="39" t="s">
        <v>19</v>
      </c>
      <c r="B55" t="s">
        <v>165</v>
      </c>
    </row>
    <row r="56" spans="1:3">
      <c r="A56" s="40" t="s">
        <v>114</v>
      </c>
      <c r="B56" s="37" t="s">
        <v>165</v>
      </c>
      <c r="C56" s="37"/>
    </row>
    <row r="57" spans="1:3">
      <c r="A57" s="39" t="s">
        <v>51</v>
      </c>
      <c r="B57" t="s">
        <v>166</v>
      </c>
      <c r="C57" s="37"/>
    </row>
    <row r="58" spans="1:3">
      <c r="A58" s="39" t="s">
        <v>52</v>
      </c>
      <c r="B58" t="s">
        <v>166</v>
      </c>
      <c r="C58" s="37"/>
    </row>
    <row r="59" spans="1:3">
      <c r="A59" s="39" t="s">
        <v>53</v>
      </c>
      <c r="B59" t="s">
        <v>166</v>
      </c>
      <c r="C59" s="37"/>
    </row>
    <row r="60" spans="1:3">
      <c r="A60" s="39" t="s">
        <v>68</v>
      </c>
      <c r="B60" t="s">
        <v>167</v>
      </c>
      <c r="C60" s="37"/>
    </row>
    <row r="61" spans="1:3">
      <c r="A61" s="39" t="s">
        <v>132</v>
      </c>
      <c r="B61" t="s">
        <v>168</v>
      </c>
      <c r="C61" s="37"/>
    </row>
    <row r="62" spans="1:3">
      <c r="A62" s="39" t="s">
        <v>143</v>
      </c>
      <c r="B62" t="s">
        <v>169</v>
      </c>
      <c r="C62" s="37"/>
    </row>
    <row r="63" spans="1:3">
      <c r="A63" s="40" t="s">
        <v>161</v>
      </c>
      <c r="B63" s="37" t="s">
        <v>169</v>
      </c>
      <c r="C63" s="37"/>
    </row>
    <row r="64" spans="1:3">
      <c r="A64" s="40" t="s">
        <v>145</v>
      </c>
      <c r="B64" s="37" t="s">
        <v>170</v>
      </c>
      <c r="C64" s="37"/>
    </row>
    <row r="65" spans="1:3">
      <c r="A65" s="39" t="s">
        <v>144</v>
      </c>
      <c r="B65" t="s">
        <v>171</v>
      </c>
      <c r="C65" s="37"/>
    </row>
    <row r="66" spans="1:3">
      <c r="A66" s="39" t="s">
        <v>162</v>
      </c>
      <c r="B66" t="s">
        <v>171</v>
      </c>
      <c r="C66" s="37"/>
    </row>
    <row r="67" spans="1:3">
      <c r="A67" s="40" t="s">
        <v>163</v>
      </c>
      <c r="B67" s="37" t="s">
        <v>171</v>
      </c>
      <c r="C67" s="37"/>
    </row>
    <row r="68" spans="1:3">
      <c r="A68" s="40" t="s">
        <v>225</v>
      </c>
      <c r="B68" s="37" t="s">
        <v>171</v>
      </c>
      <c r="C68" s="37"/>
    </row>
    <row r="69" spans="1:3">
      <c r="A69" s="40" t="s">
        <v>252</v>
      </c>
      <c r="B69" s="37"/>
      <c r="C69" s="37"/>
    </row>
    <row r="70" spans="1:3">
      <c r="A70" s="40" t="s">
        <v>254</v>
      </c>
      <c r="B70" s="37"/>
      <c r="C70" s="37"/>
    </row>
    <row r="71" spans="1:3">
      <c r="A71" s="40" t="s">
        <v>183</v>
      </c>
      <c r="B71" s="37" t="s">
        <v>184</v>
      </c>
      <c r="C71" s="37"/>
    </row>
    <row r="72" spans="1:3">
      <c r="A72" s="40" t="s">
        <v>193</v>
      </c>
      <c r="B72" s="37" t="s">
        <v>205</v>
      </c>
      <c r="C72" s="37"/>
    </row>
  </sheetData>
  <phoneticPr fontId="8"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sheetPr codeName="Sheet5"/>
  <dimension ref="A1:C15"/>
  <sheetViews>
    <sheetView workbookViewId="0"/>
  </sheetViews>
  <sheetFormatPr defaultRowHeight="15.75"/>
  <cols>
    <col min="1" max="3" width="40.7109375" customWidth="1"/>
  </cols>
  <sheetData>
    <row r="1" spans="1:3">
      <c r="A1" t="s">
        <v>30</v>
      </c>
      <c r="B1" t="s">
        <v>31</v>
      </c>
      <c r="C1" t="s">
        <v>28</v>
      </c>
    </row>
    <row r="2" spans="1:3">
      <c r="A2" t="s">
        <v>23</v>
      </c>
      <c r="B2" t="s">
        <v>172</v>
      </c>
      <c r="C2" t="s">
        <v>209</v>
      </c>
    </row>
    <row r="3" spans="1:3">
      <c r="A3" t="s">
        <v>34</v>
      </c>
      <c r="B3" t="s">
        <v>173</v>
      </c>
      <c r="C3" t="s">
        <v>210</v>
      </c>
    </row>
    <row r="4" spans="1:3">
      <c r="A4" t="s">
        <v>24</v>
      </c>
      <c r="B4" t="s">
        <v>174</v>
      </c>
      <c r="C4" t="s">
        <v>211</v>
      </c>
    </row>
    <row r="5" spans="1:3">
      <c r="A5" t="s">
        <v>25</v>
      </c>
      <c r="B5" t="s">
        <v>175</v>
      </c>
      <c r="C5" t="s">
        <v>29</v>
      </c>
    </row>
    <row r="6" spans="1:3">
      <c r="A6" t="s">
        <v>26</v>
      </c>
      <c r="B6" t="s">
        <v>176</v>
      </c>
      <c r="C6" t="s">
        <v>212</v>
      </c>
    </row>
    <row r="7" spans="1:3">
      <c r="A7" t="s">
        <v>27</v>
      </c>
      <c r="B7" t="s">
        <v>177</v>
      </c>
      <c r="C7" t="s">
        <v>213</v>
      </c>
    </row>
    <row r="8" spans="1:3">
      <c r="A8" s="37" t="s">
        <v>68</v>
      </c>
      <c r="B8" s="37" t="s">
        <v>178</v>
      </c>
      <c r="C8" s="37" t="s">
        <v>130</v>
      </c>
    </row>
    <row r="9" spans="1:3">
      <c r="A9" t="s">
        <v>69</v>
      </c>
      <c r="B9" t="s">
        <v>179</v>
      </c>
      <c r="C9" t="s">
        <v>133</v>
      </c>
    </row>
    <row r="10" spans="1:3">
      <c r="A10" t="s">
        <v>128</v>
      </c>
      <c r="B10" t="s">
        <v>180</v>
      </c>
      <c r="C10" t="s">
        <v>214</v>
      </c>
    </row>
    <row r="11" spans="1:3">
      <c r="A11" t="s">
        <v>189</v>
      </c>
      <c r="B11" t="s">
        <v>186</v>
      </c>
      <c r="C11" t="s">
        <v>215</v>
      </c>
    </row>
    <row r="12" spans="1:3">
      <c r="A12" t="s">
        <v>190</v>
      </c>
      <c r="B12" t="s">
        <v>187</v>
      </c>
      <c r="C12" t="s">
        <v>216</v>
      </c>
    </row>
    <row r="13" spans="1:3">
      <c r="A13" t="s">
        <v>191</v>
      </c>
      <c r="B13" t="s">
        <v>188</v>
      </c>
      <c r="C13" t="s">
        <v>217</v>
      </c>
    </row>
    <row r="14" spans="1:3">
      <c r="A14" t="s">
        <v>132</v>
      </c>
      <c r="B14" t="s">
        <v>181</v>
      </c>
      <c r="C14" t="s">
        <v>192</v>
      </c>
    </row>
    <row r="15" spans="1:3">
      <c r="A15" s="37" t="s">
        <v>222</v>
      </c>
      <c r="B15" s="37" t="s">
        <v>223</v>
      </c>
      <c r="C15" s="37" t="s">
        <v>224</v>
      </c>
    </row>
  </sheetData>
  <phoneticPr fontId="8"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5A8325093728D41B2A3D05E0CE16AF4" ma:contentTypeVersion="0" ma:contentTypeDescription="Create a new document." ma:contentTypeScope="" ma:versionID="09773965fe6ca2a54823a7b3a6e22ac9">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EA8460E6-3E19-4487-87B5-60B9439F19C2}">
  <ds:schemaRefs>
    <ds:schemaRef ds:uri="http://schemas.microsoft.com/sharepoint/v3/contenttype/forms"/>
  </ds:schemaRefs>
</ds:datastoreItem>
</file>

<file path=customXml/itemProps2.xml><?xml version="1.0" encoding="utf-8"?>
<ds:datastoreItem xmlns:ds="http://schemas.openxmlformats.org/officeDocument/2006/customXml" ds:itemID="{BAB38CFD-6905-4300-8D1C-1B391F65AE95}">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5B1C371B-E44D-49EC-AF61-31DD99B5C0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6755_1.14.0.06_catmp_META</vt:lpstr>
      <vt:lpstr>6755_1.14.0.06_catmp_PIP</vt:lpstr>
      <vt:lpstr>6755_1.14.0.06_catmp_VRGIS</vt:lpstr>
      <vt:lpstr>6755_1.14.0.06_catmp_WFD</vt:lpstr>
      <vt:lpstr>6755_1.14.0.06_catmp_eng</vt:lpstr>
      <vt:lpstr>6755_1.14.0.06_catmp</vt:lpstr>
      <vt:lpstr>6755_1.14.0.06_tp</vt:lpstr>
      <vt:lpstr>6755_1.14.0.06_ht</vt:lpstr>
      <vt:lpstr>6755_coolers</vt:lpstr>
      <vt:lpstr>6755_tz</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2015-09-11T02:38:16Z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