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Override PartName="/customXml/itemProps2.xml" ContentType="application/vnd.openxmlformats-officedocument.customXmlProperties+xml"/>
  <Override PartName="/customXml/itemProps3.xml" ContentType="application/vnd.openxmlformats-officedocument.customXmlProperties+xml"/>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6.xml" ContentType="application/vnd.openxmlformats-officedocument.spreadsheetml.externalLink+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filterPrivacy="1" updateLinks="always" codeName="ThisWorkbook" defaultThemeVersion="124226"/>
  <bookViews>
    <workbookView xWindow="-105" yWindow="-105" windowWidth="14730" windowHeight="11610" activeTab="2"/>
  </bookViews>
  <sheets>
    <sheet name="6755_1.14.0.06_catmp_METAnoBCCT" sheetId="204" r:id="rId1"/>
    <sheet name="6755_1.14.0.06_catmp_PIPnoBCCT" sheetId="205" r:id="rId2"/>
    <sheet name="6755_1.14.0.06_catmp_VRGISnoBCT" sheetId="206" r:id="rId3"/>
    <sheet name="6755_1.14.0.06_catmp_WFDnoBCCT" sheetId="207" r:id="rId4"/>
    <sheet name="6755_1.14.0.06_catmp_engnoBCCT" sheetId="208" r:id="rId5"/>
    <sheet name="6755_1.14.0.06_catmpno_BCCT" sheetId="209" r:id="rId6"/>
    <sheet name="6755_1.14.0.06_catmp_META" sheetId="202" r:id="rId7"/>
    <sheet name="6755_1.14.0.06_catmp_PIP" sheetId="201" r:id="rId8"/>
    <sheet name="6755_1.14.0.06_catmp_VRGIS" sheetId="200" r:id="rId9"/>
    <sheet name="6755_1.14.0.06_catmp_WFD" sheetId="199" r:id="rId10"/>
    <sheet name="6755_1.14.0.06_catmp_eng" sheetId="198" r:id="rId11"/>
    <sheet name="6755_1.14.0.06_catmp" sheetId="197" r:id="rId12"/>
    <sheet name="6755_1.14.0.06_tp" sheetId="157" r:id="rId13"/>
    <sheet name="6755_1.14.0.06_ht" sheetId="158" r:id="rId14"/>
    <sheet name="6755_coolers" sheetId="150" r:id="rId15"/>
    <sheet name="6755_tz" sheetId="125" r:id="rId16"/>
  </sheets>
  <functionGroups/>
  <externalReferences>
    <externalReference r:id="rId17"/>
    <externalReference r:id="rId18"/>
    <externalReference r:id="rId19"/>
    <externalReference r:id="rId20"/>
    <externalReference r:id="rId21"/>
    <externalReference r:id="rId22"/>
  </externalReferences>
  <calcPr calcId="125725"/>
</workbook>
</file>

<file path=xl/calcChain.xml><?xml version="1.0" encoding="utf-8"?>
<calcChain xmlns="http://schemas.openxmlformats.org/spreadsheetml/2006/main">
  <c r="AZ88" i="209"/>
  <c r="AZ87" s="1"/>
  <c r="AZ86"/>
  <c r="AZ85" s="1"/>
  <c r="AZ88" i="208"/>
  <c r="AZ87" s="1"/>
  <c r="AZ86"/>
  <c r="AZ85" s="1"/>
  <c r="AZ88" i="207"/>
  <c r="AZ87" s="1"/>
  <c r="AZ86"/>
  <c r="AZ85" s="1"/>
  <c r="AZ88" i="206"/>
  <c r="AZ87" s="1"/>
  <c r="AZ86"/>
  <c r="AZ85" s="1"/>
  <c r="AZ88" i="205"/>
  <c r="AZ87" s="1"/>
  <c r="AZ86"/>
  <c r="AZ85" s="1"/>
  <c r="AZ88" i="204"/>
  <c r="AZ87" s="1"/>
  <c r="AZ86"/>
  <c r="AZ85" s="1"/>
  <c r="AZ88" i="202" l="1"/>
  <c r="AZ87" s="1"/>
  <c r="AZ86"/>
  <c r="AZ85" s="1"/>
  <c r="AZ88" i="201"/>
  <c r="AZ87" s="1"/>
  <c r="AZ86"/>
  <c r="AZ85" s="1"/>
  <c r="AZ88" i="200"/>
  <c r="AZ87" s="1"/>
  <c r="AZ86"/>
  <c r="AZ85" s="1"/>
  <c r="AZ88" i="199"/>
  <c r="AZ87" s="1"/>
  <c r="AZ86"/>
  <c r="AZ85" s="1"/>
  <c r="AZ88" i="198" l="1"/>
  <c r="AZ87" s="1"/>
  <c r="AZ86"/>
  <c r="AZ85" s="1"/>
  <c r="AZ88" i="158"/>
  <c r="AZ87"/>
  <c r="AZ86"/>
  <c r="AZ85" s="1"/>
  <c r="AZ88" i="157"/>
  <c r="AZ87" s="1"/>
  <c r="AZ86"/>
  <c r="AZ85" s="1"/>
  <c r="AZ88" i="197"/>
  <c r="AZ87" s="1"/>
  <c r="AZ86"/>
  <c r="AZ85" s="1"/>
</calcChain>
</file>

<file path=xl/sharedStrings.xml><?xml version="1.0" encoding="utf-8"?>
<sst xmlns="http://schemas.openxmlformats.org/spreadsheetml/2006/main" count="23880" uniqueCount="271">
  <si>
    <t>mtktsabb-sysrst</t>
  </si>
  <si>
    <t>mtktspmic-sysrst</t>
  </si>
  <si>
    <t>mtktsbattery-sysrst</t>
  </si>
  <si>
    <t>mtk-cl-shutdown01</t>
  </si>
  <si>
    <t>no-cooler</t>
  </si>
  <si>
    <t>Cooler Name</t>
  </si>
  <si>
    <t>Type</t>
  </si>
  <si>
    <t>Trip Point</t>
  </si>
  <si>
    <t>Polling Interval</t>
  </si>
  <si>
    <t>Number of Trip</t>
  </si>
  <si>
    <t>Moving Average</t>
  </si>
  <si>
    <t>Condition 1</t>
  </si>
  <si>
    <t>Condition 2</t>
  </si>
  <si>
    <t>NULL</t>
  </si>
  <si>
    <t>Condition 3</t>
  </si>
  <si>
    <t>mtktscpu-sysrst</t>
  </si>
  <si>
    <t>mtktswmt-sysrst</t>
  </si>
  <si>
    <t>mtktspa-sysrst</t>
  </si>
  <si>
    <t>Multi-Step MA</t>
  </si>
  <si>
    <t>mtktswmt-pa1</t>
  </si>
  <si>
    <t xml:space="preserve">        </t>
  </si>
  <si>
    <t xml:space="preserve">            </t>
  </si>
  <si>
    <t xml:space="preserve">               </t>
  </si>
  <si>
    <t>mtktscpu</t>
  </si>
  <si>
    <t>mtktspmic</t>
  </si>
  <si>
    <t>mtktsbattery</t>
  </si>
  <si>
    <t>mtktspa</t>
  </si>
  <si>
    <t>mtktswmt</t>
  </si>
  <si>
    <t>Description</t>
  </si>
  <si>
    <t>NTC in battery</t>
  </si>
  <si>
    <t>Thermal Zone Name</t>
  </si>
  <si>
    <t>Thermal Zone Config path</t>
  </si>
  <si>
    <t>mtk-cl-kshutdown00</t>
  </si>
  <si>
    <t>mtk-cl-bcct00</t>
  </si>
  <si>
    <t>mtktsabb</t>
  </si>
  <si>
    <t>TZ Name</t>
  </si>
  <si>
    <t>ENABLE</t>
  </si>
  <si>
    <t>DISABLE</t>
  </si>
  <si>
    <t>Extra</t>
  </si>
  <si>
    <t>mtk-cl-bcct00 limit (mA)</t>
  </si>
  <si>
    <t>mtk-cl-bcct01 limit (mA)</t>
  </si>
  <si>
    <t>mtk-cl-bcct02 limit (mA)</t>
  </si>
  <si>
    <t>klog on</t>
  </si>
  <si>
    <t>DurX (Sec)</t>
  </si>
  <si>
    <t>ThroU (X/Y)</t>
  </si>
  <si>
    <t>1/3</t>
  </si>
  <si>
    <t>DurY (Sec)</t>
  </si>
  <si>
    <t>5</t>
  </si>
  <si>
    <t>ThroL (X/Y)</t>
  </si>
  <si>
    <t>3/2</t>
  </si>
  <si>
    <t>RstX (Sec)</t>
  </si>
  <si>
    <t>cpu_adaptive_0</t>
  </si>
  <si>
    <t>cpu_adaptive_1</t>
  </si>
  <si>
    <t>cpu_adaptive_2</t>
  </si>
  <si>
    <t>First Step (mW)</t>
  </si>
  <si>
    <t>Min CPU Power (mW)</t>
  </si>
  <si>
    <t>Max CPU Power (mW)</t>
  </si>
  <si>
    <t>Min Budget Change</t>
  </si>
  <si>
    <t>50</t>
  </si>
  <si>
    <t>Min GPU Power (mW)</t>
  </si>
  <si>
    <t>Max GPU Power (mW)</t>
  </si>
  <si>
    <t>cpu25</t>
  </si>
  <si>
    <t>id</t>
  </si>
  <si>
    <t>0</t>
  </si>
  <si>
    <t>1</t>
  </si>
  <si>
    <t>2</t>
  </si>
  <si>
    <t>Theta(ja) Rise</t>
  </si>
  <si>
    <t>Theta(ja) Fall</t>
  </si>
  <si>
    <t>mtktsAP</t>
  </si>
  <si>
    <t>mtktsbuck</t>
  </si>
  <si>
    <t>Cooler name</t>
  </si>
  <si>
    <t>Cooler Config Path</t>
  </si>
  <si>
    <t>cpu00</t>
  </si>
  <si>
    <t>cpu01</t>
  </si>
  <si>
    <t>cpu02</t>
  </si>
  <si>
    <t>cpu03</t>
  </si>
  <si>
    <t>cpu04</t>
  </si>
  <si>
    <t>cpu05</t>
  </si>
  <si>
    <t>cpu06</t>
  </si>
  <si>
    <t>cpu07</t>
  </si>
  <si>
    <t>cpu08</t>
  </si>
  <si>
    <t>cpu09</t>
  </si>
  <si>
    <t>cpu10</t>
  </si>
  <si>
    <t>cpu11</t>
  </si>
  <si>
    <t>cpu12</t>
  </si>
  <si>
    <t>cpu13</t>
  </si>
  <si>
    <t>cpu14</t>
  </si>
  <si>
    <t>cpu15</t>
  </si>
  <si>
    <t>cpu16</t>
  </si>
  <si>
    <t>cpu17</t>
  </si>
  <si>
    <t>cpu18</t>
  </si>
  <si>
    <t>cpu19</t>
  </si>
  <si>
    <t>cpu20</t>
  </si>
  <si>
    <t>cpu21</t>
  </si>
  <si>
    <t>cpu22</t>
  </si>
  <si>
    <t>cpu23</t>
  </si>
  <si>
    <t>cpu24</t>
  </si>
  <si>
    <t>cpu26</t>
  </si>
  <si>
    <t>cpu27</t>
  </si>
  <si>
    <t>cpu28</t>
  </si>
  <si>
    <t>cpu29</t>
  </si>
  <si>
    <t>cpu30</t>
  </si>
  <si>
    <t>cpu31</t>
  </si>
  <si>
    <t>cpu32</t>
  </si>
  <si>
    <t>cpu33</t>
  </si>
  <si>
    <t>mtk-cl-kshutdown01</t>
  </si>
  <si>
    <t>mtk-cl-kshutdown02</t>
  </si>
  <si>
    <t>mtk-cl-shutdown00</t>
  </si>
  <si>
    <t>mtk-cl-shutdown02</t>
  </si>
  <si>
    <t>mtk-cl-backlight01</t>
  </si>
  <si>
    <t>mtk-cl-backlight02</t>
  </si>
  <si>
    <t>mtk-cl-backlight03</t>
  </si>
  <si>
    <t>mtk-cl-bcct01</t>
  </si>
  <si>
    <t>mtk-cl-bcct02</t>
  </si>
  <si>
    <t>mtktswmt-pa2</t>
  </si>
  <si>
    <t>2000</t>
  </si>
  <si>
    <t>20</t>
  </si>
  <si>
    <t>15</t>
  </si>
  <si>
    <t>1500</t>
  </si>
  <si>
    <t>NTC</t>
  </si>
  <si>
    <t>PUP_R</t>
  </si>
  <si>
    <t>PUP_VOLT</t>
  </si>
  <si>
    <t>1800</t>
  </si>
  <si>
    <t>OVER_CRITICAL_L</t>
  </si>
  <si>
    <t>NTC_TABLE</t>
  </si>
  <si>
    <t>Value</t>
  </si>
  <si>
    <t>Param</t>
  </si>
  <si>
    <t>AP ADC Channel</t>
  </si>
  <si>
    <t>mtkts1</t>
  </si>
  <si>
    <t>mtkts4</t>
  </si>
  <si>
    <t>AP NTC aka BTS</t>
  </si>
  <si>
    <t>EXIT</t>
  </si>
  <si>
    <t>mtktsbtsmdpa</t>
  </si>
  <si>
    <t>TS inside MT6311 IC</t>
  </si>
  <si>
    <t>390000</t>
  </si>
  <si>
    <t>4251000</t>
  </si>
  <si>
    <t>6</t>
  </si>
  <si>
    <t>3000</t>
  </si>
  <si>
    <t>900</t>
  </si>
  <si>
    <t>4000</t>
  </si>
  <si>
    <t>2100</t>
  </si>
  <si>
    <t>600</t>
  </si>
  <si>
    <t>30</t>
  </si>
  <si>
    <t>cl-amutt-upper</t>
  </si>
  <si>
    <t>mtk-cl-mutt00</t>
  </si>
  <si>
    <t>cl-amutt-asparam</t>
  </si>
  <si>
    <t>60</t>
  </si>
  <si>
    <t>STEP</t>
  </si>
  <si>
    <t>Down Step</t>
  </si>
  <si>
    <t>mutt00 active ms</t>
  </si>
  <si>
    <t>active ms</t>
  </si>
  <si>
    <t>mutt00 suspend ms</t>
  </si>
  <si>
    <t>suspend ms</t>
  </si>
  <si>
    <t>Up Step</t>
  </si>
  <si>
    <t>mutt01 active ms</t>
  </si>
  <si>
    <t>mutt01 suspend ms</t>
  </si>
  <si>
    <t>Interval (Sec)</t>
  </si>
  <si>
    <t>mutt02 active ms</t>
  </si>
  <si>
    <t>max step</t>
  </si>
  <si>
    <t>4</t>
  </si>
  <si>
    <t>mutt02 suspend ms</t>
  </si>
  <si>
    <t>cl-amutt-lower</t>
  </si>
  <si>
    <t>mtk-cl-mutt01</t>
  </si>
  <si>
    <t>mtk-cl-mutt02</t>
  </si>
  <si>
    <t>/proc/driver/thermal/clbcct</t>
  </si>
  <si>
    <t>/proc/driver/thermal/clwmt_val</t>
  </si>
  <si>
    <t>/proc/driver/thermal/clatm_setting</t>
  </si>
  <si>
    <t>/proc/driver/thermal/tzbts_param</t>
  </si>
  <si>
    <t>/proc/driver/thermal/tzbtspa_param</t>
  </si>
  <si>
    <t>/proc/driver/thermal/clamutt_param</t>
  </si>
  <si>
    <t>/proc/driver/thermal/clamutt_asparam</t>
  </si>
  <si>
    <t>/proc/driver/thermal/clmutt</t>
  </si>
  <si>
    <t>/proc/driver/thermal/tzcpu</t>
  </si>
  <si>
    <t>/proc/driver/thermal/tzabb</t>
  </si>
  <si>
    <t>/proc/driver/thermal/tzpmic</t>
  </si>
  <si>
    <t>/proc/driver/thermal/tzbattery</t>
  </si>
  <si>
    <t>/proc/driver/thermal/tzpa</t>
  </si>
  <si>
    <t>/proc/driver/thermal/tzwmt</t>
  </si>
  <si>
    <t>/proc/driver/thermal/tzbts</t>
  </si>
  <si>
    <t>/proc/driver/thermal/tz6311</t>
  </si>
  <si>
    <t>/proc/driver/thermal/tzts1</t>
  </si>
  <si>
    <t>/proc/driver/thermal/tzbtspa</t>
  </si>
  <si>
    <t xml:space="preserve"> </t>
  </si>
  <si>
    <t>mtk-cl-cam00</t>
    <phoneticPr fontId="8" type="noConversion"/>
  </si>
  <si>
    <t>/proc/driver/cl_cam</t>
    <phoneticPr fontId="8" type="noConversion"/>
  </si>
  <si>
    <t>mtk-cl-kshutdown00</t>
    <phoneticPr fontId="8" type="noConversion"/>
  </si>
  <si>
    <t>/proc/driver/thermal/tzts2</t>
    <phoneticPr fontId="8" type="noConversion"/>
  </si>
  <si>
    <t>/proc/driver/thermal/tzts3</t>
    <phoneticPr fontId="8" type="noConversion"/>
  </si>
  <si>
    <t>/proc/driver/thermal/tzts4</t>
    <phoneticPr fontId="8" type="noConversion"/>
  </si>
  <si>
    <t>mtkts2</t>
    <phoneticPr fontId="8" type="noConversion"/>
  </si>
  <si>
    <t>mtkts3</t>
    <phoneticPr fontId="8" type="noConversion"/>
  </si>
  <si>
    <t>mtkts4</t>
    <phoneticPr fontId="8" type="noConversion"/>
  </si>
  <si>
    <t>NTC nearby PA</t>
    <phoneticPr fontId="8" type="noConversion"/>
  </si>
  <si>
    <t>ctm</t>
  </si>
  <si>
    <t>ctm on</t>
  </si>
  <si>
    <t>Target Tj 0</t>
  </si>
  <si>
    <t>85000</t>
  </si>
  <si>
    <t>Target Tj 2</t>
  </si>
  <si>
    <t>Tpcb 1</t>
  </si>
  <si>
    <t>Exit Tj 0</t>
  </si>
  <si>
    <t>Exit Tj 2</t>
  </si>
  <si>
    <t>Enter_a</t>
  </si>
  <si>
    <t>Enter_b</t>
  </si>
  <si>
    <t>Exit_a</t>
  </si>
  <si>
    <t>Exit_b</t>
  </si>
  <si>
    <t>/proc/driver/thermal/clctm</t>
  </si>
  <si>
    <t>mtkts2</t>
    <phoneticPr fontId="8" type="noConversion"/>
  </si>
  <si>
    <t>mtkts3</t>
    <phoneticPr fontId="8" type="noConversion"/>
  </si>
  <si>
    <t>mtkts4</t>
    <phoneticPr fontId="8" type="noConversion"/>
  </si>
  <si>
    <t>Max temp in MT6755 TS</t>
    <phoneticPr fontId="8" type="noConversion"/>
  </si>
  <si>
    <t>TS2 Inside MT6755 IC near ABB</t>
    <phoneticPr fontId="8" type="noConversion"/>
  </si>
  <si>
    <t>TS inside MT6351IC</t>
    <phoneticPr fontId="8" type="noConversion"/>
  </si>
  <si>
    <t>TS inside MT6291 and may near PA</t>
    <phoneticPr fontId="8" type="noConversion"/>
  </si>
  <si>
    <t>TS inside MT6625</t>
    <phoneticPr fontId="8" type="noConversion"/>
  </si>
  <si>
    <t>TS1 inside MT6755 IC</t>
    <phoneticPr fontId="8" type="noConversion"/>
  </si>
  <si>
    <t>TS2 inside MT6755 IC</t>
    <phoneticPr fontId="8" type="noConversion"/>
  </si>
  <si>
    <t>TS3 inside MT6755 IC</t>
    <phoneticPr fontId="8" type="noConversion"/>
  </si>
  <si>
    <t>TS4 inside MT6755 IC</t>
    <phoneticPr fontId="8" type="noConversion"/>
  </si>
  <si>
    <t>NULL</t>
    <phoneticPr fontId="8" type="noConversion"/>
  </si>
  <si>
    <t>mtkts2</t>
    <phoneticPr fontId="8" type="noConversion"/>
  </si>
  <si>
    <t>mtkts3</t>
    <phoneticPr fontId="8" type="noConversion"/>
  </si>
  <si>
    <t>mtkts4</t>
    <phoneticPr fontId="8" type="noConversion"/>
  </si>
  <si>
    <t>mtktsdcxo</t>
    <phoneticPr fontId="8" type="noConversion"/>
  </si>
  <si>
    <t>/proc/driver/thermal/tzdcxo</t>
    <phoneticPr fontId="8" type="noConversion"/>
  </si>
  <si>
    <t>TS inside DCXO</t>
    <phoneticPr fontId="8" type="noConversion"/>
  </si>
  <si>
    <t>mtk-cl-mutt03</t>
    <phoneticPr fontId="8" type="noConversion"/>
  </si>
  <si>
    <t>K_SUM_TT_HIGH</t>
  </si>
  <si>
    <t>10</t>
  </si>
  <si>
    <t>K_SUM_TT_LOW</t>
  </si>
  <si>
    <t>CATM2_STEADY_TTJ_DELTA</t>
  </si>
  <si>
    <t>10000</t>
  </si>
  <si>
    <t>67000</t>
  </si>
  <si>
    <t>25</t>
  </si>
  <si>
    <t>mtkts2</t>
  </si>
  <si>
    <t>mtkts3</t>
  </si>
  <si>
    <t>2500</t>
  </si>
  <si>
    <t>45000</t>
  </si>
  <si>
    <t>Tpcb 2</t>
  </si>
  <si>
    <t>48000</t>
  </si>
  <si>
    <t>410</t>
  </si>
  <si>
    <t>75000</t>
  </si>
  <si>
    <t>1600</t>
  </si>
  <si>
    <t>61000</t>
  </si>
  <si>
    <t>550</t>
  </si>
  <si>
    <t>51000</t>
    <phoneticPr fontId="8" type="noConversion"/>
  </si>
  <si>
    <t>68000</t>
    <phoneticPr fontId="8" type="noConversion"/>
  </si>
  <si>
    <t>900</t>
    <phoneticPr fontId="8" type="noConversion"/>
  </si>
  <si>
    <t>45000</t>
    <phoneticPr fontId="8" type="noConversion"/>
  </si>
  <si>
    <t>51000</t>
    <phoneticPr fontId="8" type="noConversion"/>
  </si>
  <si>
    <t>85000</t>
    <phoneticPr fontId="8" type="noConversion"/>
  </si>
  <si>
    <t>900</t>
    <phoneticPr fontId="8" type="noConversion"/>
  </si>
  <si>
    <t>mtk-cl-noIMS</t>
  </si>
  <si>
    <t>mtk-cl-noIMS</t>
    <phoneticPr fontId="8" type="noConversion"/>
  </si>
  <si>
    <t>mtk-cl-mdoff</t>
  </si>
  <si>
    <t>mtk-cl-mdoff</t>
    <phoneticPr fontId="8" type="noConversion"/>
  </si>
  <si>
    <t>mutt03 active ms</t>
    <phoneticPr fontId="8" type="noConversion"/>
  </si>
  <si>
    <t>mutt03 suspend ms</t>
    <phoneticPr fontId="8" type="noConversion"/>
  </si>
  <si>
    <t>mtk-cl-mutt03</t>
  </si>
  <si>
    <t>10</t>
    <phoneticPr fontId="8" type="noConversion"/>
  </si>
  <si>
    <t>15</t>
    <phoneticPr fontId="8" type="noConversion"/>
  </si>
  <si>
    <t>10</t>
    <phoneticPr fontId="8" type="noConversion"/>
  </si>
  <si>
    <t>15</t>
    <phoneticPr fontId="8" type="noConversion"/>
  </si>
  <si>
    <t>68000</t>
  </si>
  <si>
    <t>51000</t>
  </si>
  <si>
    <t>62000</t>
  </si>
  <si>
    <t>mtk-cl-cam00</t>
  </si>
  <si>
    <t>mtk-cl-mutt02</t>
    <phoneticPr fontId="8" type="noConversion"/>
  </si>
  <si>
    <t>mtk-cl-mutt01</t>
    <phoneticPr fontId="8" type="noConversion"/>
  </si>
  <si>
    <t>&lt; Mobile usage(Kb/s)</t>
  </si>
  <si>
    <t>mtk-cl-mutt00</t>
    <phoneticPr fontId="8" type="noConversion"/>
  </si>
  <si>
    <t>500</t>
    <phoneticPr fontId="8" type="noConversion"/>
  </si>
</sst>
</file>

<file path=xl/styles.xml><?xml version="1.0" encoding="utf-8"?>
<styleSheet xmlns="http://schemas.openxmlformats.org/spreadsheetml/2006/main">
  <fonts count="14">
    <font>
      <sz val="11"/>
      <color theme="1"/>
      <name val="新細明體"/>
      <family val="2"/>
      <scheme val="minor"/>
    </font>
    <font>
      <sz val="10"/>
      <color theme="1"/>
      <name val="新細明體"/>
      <family val="2"/>
      <scheme val="minor"/>
    </font>
    <font>
      <b/>
      <sz val="10"/>
      <color theme="0"/>
      <name val="新細明體"/>
      <family val="2"/>
      <scheme val="minor"/>
    </font>
    <font>
      <sz val="10"/>
      <color rgb="FFFFFF00"/>
      <name val="新細明體"/>
      <family val="2"/>
      <scheme val="minor"/>
    </font>
    <font>
      <b/>
      <sz val="10"/>
      <color theme="9" tint="-0.249977111117893"/>
      <name val="新細明體"/>
      <family val="2"/>
      <scheme val="minor"/>
    </font>
    <font>
      <sz val="10"/>
      <color theme="0"/>
      <name val="新細明體"/>
      <family val="2"/>
      <scheme val="minor"/>
    </font>
    <font>
      <sz val="10"/>
      <name val="新細明體"/>
      <family val="2"/>
      <scheme val="minor"/>
    </font>
    <font>
      <sz val="10"/>
      <color rgb="FFFF0000"/>
      <name val="新細明體"/>
      <family val="2"/>
      <scheme val="minor"/>
    </font>
    <font>
      <sz val="9"/>
      <name val="新細明體"/>
      <family val="3"/>
      <charset val="136"/>
      <scheme val="minor"/>
    </font>
    <font>
      <sz val="10"/>
      <color rgb="FF0000FF"/>
      <name val="新細明體"/>
      <family val="2"/>
      <scheme val="minor"/>
    </font>
    <font>
      <sz val="10"/>
      <color rgb="FFFF0000"/>
      <name val="新細明體"/>
      <family val="1"/>
      <charset val="136"/>
      <scheme val="minor"/>
    </font>
    <font>
      <sz val="11"/>
      <color rgb="FF000000"/>
      <name val="Calibri"/>
      <family val="2"/>
    </font>
    <font>
      <sz val="10"/>
      <color rgb="FF7030A0"/>
      <name val="新細明體"/>
      <family val="2"/>
      <scheme val="minor"/>
    </font>
    <font>
      <sz val="10"/>
      <color rgb="FF7030A0"/>
      <name val="新細明體"/>
      <family val="1"/>
      <charset val="136"/>
      <scheme val="minor"/>
    </font>
  </fonts>
  <fills count="5">
    <fill>
      <patternFill patternType="none"/>
    </fill>
    <fill>
      <patternFill patternType="gray125"/>
    </fill>
    <fill>
      <patternFill patternType="solid">
        <fgColor theme="0"/>
        <bgColor indexed="64"/>
      </patternFill>
    </fill>
    <fill>
      <patternFill patternType="solid">
        <fgColor theme="1" tint="0.249977111117893"/>
        <bgColor indexed="64"/>
      </patternFill>
    </fill>
    <fill>
      <patternFill patternType="solid">
        <fgColor theme="0" tint="-0.34998626667073579"/>
        <bgColor indexed="64"/>
      </patternFill>
    </fill>
  </fills>
  <borders count="19">
    <border>
      <left/>
      <right/>
      <top/>
      <bottom/>
      <diagonal/>
    </border>
    <border>
      <left style="thin">
        <color indexed="64"/>
      </left>
      <right style="thin">
        <color indexed="64"/>
      </right>
      <top/>
      <bottom/>
      <diagonal/>
    </border>
    <border>
      <left/>
      <right style="thin">
        <color indexed="64"/>
      </right>
      <top/>
      <bottom/>
      <diagonal/>
    </border>
    <border>
      <left style="thin">
        <color theme="1" tint="0.24994659260841701"/>
      </left>
      <right style="thin">
        <color theme="0" tint="-0.14996795556505021"/>
      </right>
      <top style="thin">
        <color theme="1" tint="0.24994659260841701"/>
      </top>
      <bottom style="thin">
        <color theme="0" tint="-0.14996795556505021"/>
      </bottom>
      <diagonal/>
    </border>
    <border>
      <left style="thin">
        <color theme="0" tint="-0.14996795556505021"/>
      </left>
      <right style="thin">
        <color theme="0" tint="-0.14996795556505021"/>
      </right>
      <top style="thin">
        <color theme="1" tint="0.24994659260841701"/>
      </top>
      <bottom style="thin">
        <color theme="0" tint="-0.14996795556505021"/>
      </bottom>
      <diagonal/>
    </border>
    <border>
      <left style="thin">
        <color theme="0" tint="-0.14996795556505021"/>
      </left>
      <right style="thin">
        <color theme="1" tint="0.24994659260841701"/>
      </right>
      <top style="thin">
        <color theme="1" tint="0.24994659260841701"/>
      </top>
      <bottom style="thin">
        <color theme="0" tint="-0.14996795556505021"/>
      </bottom>
      <diagonal/>
    </border>
    <border>
      <left style="thin">
        <color theme="1" tint="0.2499465926084170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1" tint="0.24994659260841701"/>
      </right>
      <top style="thin">
        <color theme="0" tint="-0.14996795556505021"/>
      </top>
      <bottom style="thin">
        <color theme="0" tint="-0.14996795556505021"/>
      </bottom>
      <diagonal/>
    </border>
    <border>
      <left style="thin">
        <color indexed="64"/>
      </left>
      <right style="thin">
        <color theme="0" tint="-0.14996795556505021"/>
      </right>
      <top style="thin">
        <color indexed="64"/>
      </top>
      <bottom style="thin">
        <color theme="0" tint="-0.14996795556505021"/>
      </bottom>
      <diagonal/>
    </border>
    <border>
      <left style="thin">
        <color theme="0" tint="-0.14996795556505021"/>
      </left>
      <right style="thin">
        <color theme="0" tint="-0.14996795556505021"/>
      </right>
      <top style="thin">
        <color indexed="64"/>
      </top>
      <bottom style="thin">
        <color theme="0" tint="-0.14996795556505021"/>
      </bottom>
      <diagonal/>
    </border>
    <border>
      <left style="thin">
        <color theme="0" tint="-0.14996795556505021"/>
      </left>
      <right style="thin">
        <color indexed="64"/>
      </right>
      <top style="thin">
        <color indexed="64"/>
      </top>
      <bottom style="thin">
        <color theme="0" tint="-0.14996795556505021"/>
      </bottom>
      <diagonal/>
    </border>
    <border>
      <left style="thin">
        <color indexed="64"/>
      </left>
      <right style="thin">
        <color theme="0" tint="-0.14996795556505021"/>
      </right>
      <top style="thin">
        <color theme="0" tint="-0.14996795556505021"/>
      </top>
      <bottom style="thin">
        <color indexed="64"/>
      </bottom>
      <diagonal/>
    </border>
    <border>
      <left style="thin">
        <color theme="0" tint="-0.14996795556505021"/>
      </left>
      <right style="thin">
        <color theme="0" tint="-0.14996795556505021"/>
      </right>
      <top style="thin">
        <color theme="0" tint="-0.14996795556505021"/>
      </top>
      <bottom style="thin">
        <color indexed="64"/>
      </bottom>
      <diagonal/>
    </border>
    <border>
      <left style="thin">
        <color theme="0" tint="-0.14996795556505021"/>
      </left>
      <right style="thin">
        <color indexed="64"/>
      </right>
      <top style="thin">
        <color theme="0" tint="-0.14996795556505021"/>
      </top>
      <bottom style="thin">
        <color indexed="64"/>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style="thin">
        <color theme="0"/>
      </right>
      <top style="thin">
        <color theme="0"/>
      </top>
      <bottom style="thin">
        <color theme="0"/>
      </bottom>
      <diagonal/>
    </border>
  </borders>
  <cellStyleXfs count="1">
    <xf numFmtId="0" fontId="0" fillId="0" borderId="0"/>
  </cellStyleXfs>
  <cellXfs count="61">
    <xf numFmtId="0" fontId="0" fillId="0" borderId="0" xfId="0"/>
    <xf numFmtId="0" fontId="1" fillId="0" borderId="0" xfId="0" applyFont="1"/>
    <xf numFmtId="0" fontId="2" fillId="3" borderId="3" xfId="0" applyFont="1" applyFill="1" applyBorder="1" applyAlignment="1" applyProtection="1">
      <alignment horizontal="center" vertical="center"/>
      <protection locked="0"/>
    </xf>
    <xf numFmtId="0" fontId="3" fillId="4" borderId="4" xfId="0" applyFont="1" applyFill="1" applyBorder="1" applyAlignment="1" applyProtection="1">
      <alignment horizontal="center" vertical="center"/>
      <protection locked="0"/>
    </xf>
    <xf numFmtId="0" fontId="1" fillId="4" borderId="5" xfId="0" applyFont="1" applyFill="1" applyBorder="1" applyAlignment="1" applyProtection="1">
      <alignment horizontal="center" vertical="center"/>
      <protection locked="0"/>
    </xf>
    <xf numFmtId="0" fontId="4" fillId="2" borderId="0" xfId="0" applyFont="1" applyFill="1" applyBorder="1" applyAlignment="1" applyProtection="1">
      <protection locked="0"/>
    </xf>
    <xf numFmtId="0" fontId="4" fillId="2" borderId="0" xfId="0" applyFont="1" applyFill="1" applyBorder="1" applyAlignment="1" applyProtection="1">
      <alignment vertical="center"/>
      <protection locked="0"/>
    </xf>
    <xf numFmtId="0" fontId="1" fillId="0" borderId="18" xfId="0" applyFont="1" applyBorder="1"/>
    <xf numFmtId="0" fontId="1" fillId="4" borderId="5" xfId="0" applyFont="1" applyFill="1" applyBorder="1" applyAlignment="1" applyProtection="1">
      <alignment horizontal="center"/>
      <protection locked="0"/>
    </xf>
    <xf numFmtId="0" fontId="1" fillId="2" borderId="2" xfId="0" applyFont="1" applyFill="1" applyBorder="1" applyAlignment="1" applyProtection="1">
      <alignment horizontal="left"/>
      <protection locked="0"/>
    </xf>
    <xf numFmtId="0" fontId="1" fillId="2" borderId="1" xfId="0" applyFont="1" applyFill="1" applyBorder="1" applyAlignment="1" applyProtection="1">
      <alignment horizontal="left"/>
      <protection locked="0"/>
    </xf>
    <xf numFmtId="0" fontId="1" fillId="0" borderId="15" xfId="0" applyFont="1" applyBorder="1"/>
    <xf numFmtId="0" fontId="5" fillId="3" borderId="6" xfId="0" applyFont="1" applyFill="1" applyBorder="1" applyAlignment="1" applyProtection="1">
      <alignment horizontal="center"/>
      <protection locked="0"/>
    </xf>
    <xf numFmtId="0" fontId="3" fillId="4" borderId="7" xfId="0" applyFont="1" applyFill="1" applyBorder="1" applyAlignment="1" applyProtection="1">
      <alignment horizontal="center"/>
      <protection locked="0"/>
    </xf>
    <xf numFmtId="0" fontId="1" fillId="4" borderId="8" xfId="0" applyFont="1" applyFill="1" applyBorder="1" applyAlignment="1" applyProtection="1">
      <alignment horizontal="center"/>
      <protection locked="0"/>
    </xf>
    <xf numFmtId="0" fontId="1" fillId="4" borderId="7" xfId="0" applyFont="1" applyFill="1" applyBorder="1" applyAlignment="1" applyProtection="1">
      <alignment horizontal="center"/>
      <protection locked="0"/>
    </xf>
    <xf numFmtId="0" fontId="6" fillId="4" borderId="8" xfId="0" applyFont="1" applyFill="1" applyBorder="1" applyAlignment="1" applyProtection="1">
      <alignment horizontal="center"/>
      <protection locked="0"/>
    </xf>
    <xf numFmtId="0" fontId="1" fillId="2" borderId="15" xfId="0" applyFont="1" applyFill="1" applyBorder="1"/>
    <xf numFmtId="0" fontId="5" fillId="2" borderId="0" xfId="0" applyFont="1" applyFill="1" applyAlignment="1" applyProtection="1">
      <alignment horizontal="center"/>
      <protection locked="0"/>
    </xf>
    <xf numFmtId="0" fontId="1" fillId="2" borderId="0" xfId="0" applyFont="1" applyFill="1" applyBorder="1" applyProtection="1">
      <protection locked="0"/>
    </xf>
    <xf numFmtId="0" fontId="1" fillId="2" borderId="0" xfId="0" applyFont="1" applyFill="1"/>
    <xf numFmtId="0" fontId="5" fillId="2" borderId="0" xfId="0" applyFont="1" applyFill="1" applyAlignment="1" applyProtection="1">
      <alignment horizontal="left"/>
      <protection locked="0"/>
    </xf>
    <xf numFmtId="0" fontId="5" fillId="3" borderId="9" xfId="0" applyFont="1" applyFill="1" applyBorder="1" applyAlignment="1" applyProtection="1">
      <alignment horizontal="center"/>
      <protection locked="0"/>
    </xf>
    <xf numFmtId="0" fontId="3" fillId="4" borderId="10" xfId="0" applyFont="1" applyFill="1" applyBorder="1" applyAlignment="1" applyProtection="1">
      <alignment horizontal="center"/>
      <protection locked="0"/>
    </xf>
    <xf numFmtId="0" fontId="5" fillId="4" borderId="11" xfId="0" applyFont="1" applyFill="1" applyBorder="1" applyAlignment="1" applyProtection="1">
      <alignment horizontal="center"/>
      <protection locked="0"/>
    </xf>
    <xf numFmtId="0" fontId="1" fillId="2" borderId="1" xfId="0" applyFont="1" applyFill="1" applyBorder="1" applyProtection="1">
      <protection locked="0"/>
    </xf>
    <xf numFmtId="0" fontId="5" fillId="3" borderId="12" xfId="0" applyFont="1" applyFill="1" applyBorder="1" applyAlignment="1" applyProtection="1">
      <alignment horizontal="center"/>
      <protection locked="0"/>
    </xf>
    <xf numFmtId="0" fontId="3" fillId="4" borderId="13" xfId="0" applyFont="1" applyFill="1" applyBorder="1" applyAlignment="1" applyProtection="1">
      <alignment horizontal="center"/>
      <protection locked="0"/>
    </xf>
    <xf numFmtId="0" fontId="5" fillId="4" borderId="14" xfId="0" applyFont="1" applyFill="1" applyBorder="1" applyAlignment="1" applyProtection="1">
      <alignment horizontal="center"/>
      <protection locked="0"/>
    </xf>
    <xf numFmtId="0" fontId="1" fillId="0" borderId="16" xfId="0" applyFont="1" applyBorder="1"/>
    <xf numFmtId="11" fontId="3" fillId="4" borderId="13" xfId="0" applyNumberFormat="1" applyFont="1" applyFill="1" applyBorder="1" applyAlignment="1" applyProtection="1">
      <alignment horizontal="center"/>
      <protection locked="0"/>
    </xf>
    <xf numFmtId="0" fontId="1" fillId="2" borderId="17" xfId="0" applyFont="1" applyFill="1" applyBorder="1"/>
    <xf numFmtId="0" fontId="1" fillId="0" borderId="17" xfId="0" applyFont="1" applyBorder="1"/>
    <xf numFmtId="0" fontId="1" fillId="0" borderId="0" xfId="0" applyFont="1" applyAlignment="1">
      <alignment horizontal="center"/>
    </xf>
    <xf numFmtId="0" fontId="1" fillId="2" borderId="0" xfId="0" applyFont="1" applyFill="1" applyBorder="1"/>
    <xf numFmtId="0" fontId="5" fillId="3" borderId="0" xfId="0" applyFont="1" applyFill="1" applyBorder="1" applyAlignment="1" applyProtection="1">
      <alignment horizontal="center"/>
      <protection locked="0"/>
    </xf>
    <xf numFmtId="0" fontId="3" fillId="4" borderId="7" xfId="0" applyFont="1" applyFill="1" applyBorder="1" applyAlignment="1" applyProtection="1">
      <alignment horizontal="left"/>
      <protection locked="0"/>
    </xf>
    <xf numFmtId="0" fontId="0" fillId="0" borderId="0" xfId="0" applyBorder="1"/>
    <xf numFmtId="49" fontId="3" fillId="4" borderId="7" xfId="0" applyNumberFormat="1" applyFont="1" applyFill="1" applyBorder="1" applyAlignment="1" applyProtection="1">
      <alignment horizontal="left"/>
      <protection locked="0"/>
    </xf>
    <xf numFmtId="0" fontId="0" fillId="0" borderId="0" xfId="0" applyAlignment="1">
      <alignment horizontal="center"/>
    </xf>
    <xf numFmtId="0" fontId="0" fillId="0" borderId="0" xfId="0" applyBorder="1" applyAlignment="1">
      <alignment horizontal="center"/>
    </xf>
    <xf numFmtId="0" fontId="5" fillId="3" borderId="0" xfId="0" applyFont="1" applyFill="1" applyBorder="1" applyAlignment="1" applyProtection="1">
      <alignment horizontal="center"/>
    </xf>
    <xf numFmtId="0" fontId="3" fillId="4" borderId="7" xfId="0" applyFont="1" applyFill="1" applyBorder="1" applyAlignment="1" applyProtection="1">
      <alignment horizontal="left"/>
    </xf>
    <xf numFmtId="0" fontId="7" fillId="4" borderId="8" xfId="0" applyFont="1" applyFill="1" applyBorder="1" applyAlignment="1" applyProtection="1">
      <alignment horizontal="center"/>
      <protection locked="0"/>
    </xf>
    <xf numFmtId="0" fontId="7" fillId="4" borderId="7" xfId="0" applyFont="1" applyFill="1" applyBorder="1" applyAlignment="1" applyProtection="1">
      <alignment horizontal="center"/>
      <protection locked="0"/>
    </xf>
    <xf numFmtId="0" fontId="7" fillId="4" borderId="13" xfId="0" applyFont="1" applyFill="1" applyBorder="1" applyAlignment="1" applyProtection="1">
      <alignment horizontal="center"/>
      <protection locked="0"/>
    </xf>
    <xf numFmtId="0" fontId="7" fillId="4" borderId="5" xfId="0" applyFont="1" applyFill="1" applyBorder="1" applyAlignment="1" applyProtection="1">
      <alignment horizontal="center"/>
      <protection locked="0"/>
    </xf>
    <xf numFmtId="0" fontId="7" fillId="4" borderId="7" xfId="0" applyFont="1" applyFill="1" applyBorder="1" applyAlignment="1" applyProtection="1">
      <alignment horizontal="left"/>
      <protection locked="0"/>
    </xf>
    <xf numFmtId="0" fontId="7" fillId="4" borderId="5" xfId="0" applyFont="1" applyFill="1" applyBorder="1" applyAlignment="1" applyProtection="1">
      <alignment horizontal="center" vertical="center"/>
      <protection locked="0"/>
    </xf>
    <xf numFmtId="49" fontId="7" fillId="4" borderId="7" xfId="0" applyNumberFormat="1" applyFont="1" applyFill="1" applyBorder="1" applyAlignment="1" applyProtection="1">
      <alignment horizontal="left"/>
      <protection locked="0"/>
    </xf>
    <xf numFmtId="0" fontId="9" fillId="4" borderId="7" xfId="0" applyFont="1" applyFill="1" applyBorder="1" applyAlignment="1" applyProtection="1">
      <alignment horizontal="center"/>
      <protection locked="0"/>
    </xf>
    <xf numFmtId="0" fontId="0" fillId="0" borderId="0" xfId="0" applyFont="1"/>
    <xf numFmtId="1" fontId="7" fillId="4" borderId="7" xfId="0" applyNumberFormat="1" applyFont="1" applyFill="1" applyBorder="1" applyAlignment="1" applyProtection="1">
      <alignment horizontal="left"/>
      <protection locked="0"/>
    </xf>
    <xf numFmtId="0" fontId="7" fillId="4" borderId="7" xfId="0" applyFont="1" applyFill="1" applyBorder="1" applyAlignment="1" applyProtection="1">
      <alignment horizontal="left"/>
    </xf>
    <xf numFmtId="0" fontId="10" fillId="4" borderId="7" xfId="0" applyFont="1" applyFill="1" applyBorder="1" applyAlignment="1" applyProtection="1">
      <alignment horizontal="center"/>
      <protection locked="0"/>
    </xf>
    <xf numFmtId="0" fontId="10" fillId="4" borderId="8" xfId="0" applyFont="1" applyFill="1" applyBorder="1" applyAlignment="1" applyProtection="1">
      <alignment horizontal="center"/>
      <protection locked="0"/>
    </xf>
    <xf numFmtId="0" fontId="7" fillId="2" borderId="0" xfId="0" applyFont="1" applyFill="1" applyAlignment="1" applyProtection="1">
      <alignment horizontal="center"/>
      <protection locked="0"/>
    </xf>
    <xf numFmtId="0" fontId="7" fillId="4" borderId="4" xfId="0" applyFont="1" applyFill="1" applyBorder="1" applyAlignment="1" applyProtection="1">
      <alignment horizontal="center" vertical="center"/>
      <protection locked="0"/>
    </xf>
    <xf numFmtId="0" fontId="12" fillId="4" borderId="7" xfId="0" applyFont="1" applyFill="1" applyBorder="1" applyAlignment="1" applyProtection="1">
      <alignment horizontal="center"/>
      <protection locked="0"/>
    </xf>
    <xf numFmtId="0" fontId="13" fillId="4" borderId="7" xfId="0" applyFont="1" applyFill="1" applyBorder="1" applyAlignment="1" applyProtection="1">
      <alignment horizontal="center"/>
      <protection locked="0"/>
    </xf>
    <xf numFmtId="0" fontId="13" fillId="4" borderId="8" xfId="0" applyFont="1" applyFill="1" applyBorder="1" applyAlignment="1" applyProtection="1">
      <alignment horizontal="center"/>
      <protection locked="0"/>
    </xf>
  </cellXfs>
  <cellStyles count="1">
    <cellStyle name="一般" xfId="0" builtinId="0"/>
  </cellStyles>
  <dxfs count="1">
    <dxf>
      <alignment horizontal="center" vertical="bottom" textRotation="0" wrapText="0" indent="0" relativeIndent="0" justifyLastLine="0" shrinkToFit="0" mergeCell="0" readingOrder="0"/>
    </dxf>
  </dxfs>
  <tableStyles count="0" defaultTableStyle="TableStyleMedium9" defaultPivotStyle="PivotStyleLight16"/>
  <colors>
    <mruColors>
      <color rgb="FF0000FF"/>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5.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4.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6.xml"/><Relationship Id="rId27" Type="http://schemas.openxmlformats.org/officeDocument/2006/relationships/customXml" Target="../customXml/item1.xml"/><Relationship Id="rId30"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Thermal/@@@Thermal%20TASK/Thermal%20Config%20Tool%20(binary)/2015.8.14/Thermal_Config_Tool_exe_v1.1522.0/thermal_config_tool_V1.13.0_dev/6580_L_thermal_config_2015_0504.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mtk08455\AppData\Roaming\Microsoft\Excel\6755_L_thermal_config_2015_7-7.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Thermal\@@@Thermal%20TASK\Jade\tool\thermal_config_tool_V1.13.0_dev\6755_L_thermal_config_2015_7-17.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mtk08455\AppData\Roaming\Microsoft\Excel\6755_L_thermal_config_2015_7-15_CATM2.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mtk08455\AppData\Roaming\Microsoft\Excel\6795_L_thermal_config_2007_V1.10.1.03.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PROJECT\Denali_1\D1_Tools\6735_thermal_config_tool_V1.10.0_eng\6752_thermal_config_2007_V1.9.1.03_MTKonly.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6580_catm_5-4-no-char-limit2"/>
      <sheetName val="6580_catm_5-4"/>
      <sheetName val="6580_catm_eng-5-4"/>
      <sheetName val="6580_1.10.0.00_ht"/>
      <sheetName val="6580_1.10.0.00_tp"/>
      <sheetName val="6735_coolers"/>
      <sheetName val="6735_tz"/>
    </sheetNames>
    <sheetDataSet>
      <sheetData sheetId="0"/>
      <sheetData sheetId="1"/>
      <sheetData sheetId="2"/>
      <sheetData sheetId="3"/>
      <sheetData sheetId="4"/>
      <sheetData sheetId="5"/>
      <sheetData sheetId="6"/>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6755_1.11.0.00_catm_wfd"/>
      <sheetName val="6755_1.11.0.00_catm_no_bcct-eng"/>
      <sheetName val="6755_1.11.0.00_catm_no_bcct"/>
      <sheetName val="6755_1.11.0.00_catm-eng"/>
      <sheetName val="6755_1.11.0.00_catm"/>
      <sheetName val="6755_1.10.0.00_tp"/>
      <sheetName val="6755_1.10.0.00_ht"/>
      <sheetName val="6755_coolers"/>
      <sheetName val="6755_tz"/>
    </sheetNames>
    <sheetDataSet>
      <sheetData sheetId="0"/>
      <sheetData sheetId="1"/>
      <sheetData sheetId="2"/>
      <sheetData sheetId="3"/>
      <sheetData sheetId="4"/>
      <sheetData sheetId="5"/>
      <sheetData sheetId="6"/>
      <sheetData sheetId="7"/>
      <sheetData sheetId="8"/>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6755_1.11.0.00_catm_wfd"/>
      <sheetName val="6755_1.11.0.00_catm_no_bcct-eng"/>
      <sheetName val="6755_1.11.0.00_catm_no_bcct"/>
      <sheetName val="6755_1.11.0.00_catm-eng"/>
      <sheetName val="6755_1.11.0.00_catm"/>
      <sheetName val="6755_1.10.0.00_tp"/>
      <sheetName val="6755_1.10.0.00_ht"/>
      <sheetName val="6755_coolers"/>
      <sheetName val="6755_tz"/>
    </sheetNames>
    <sheetDataSet>
      <sheetData sheetId="0"/>
      <sheetData sheetId="1"/>
      <sheetData sheetId="2"/>
      <sheetData sheetId="3"/>
      <sheetData sheetId="4"/>
      <sheetData sheetId="5"/>
      <sheetData sheetId="6"/>
      <sheetData sheetId="7"/>
      <sheetData sheetId="8"/>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6755_1.11.0.00_catm2-eng"/>
      <sheetName val="catm"/>
      <sheetName val="P2"/>
      <sheetName val="6755_1.11.0.00_catm-eng"/>
      <sheetName val="6755_1.11.0.00_catm_wfd"/>
      <sheetName val="6755_1.11.0.00_catm_no_bcct-eng"/>
      <sheetName val="6755_1.11.0.00_catm_no_bcct"/>
      <sheetName val="6755_1.11.0.00_catm"/>
      <sheetName val="6755_1.10.0.00_tp"/>
      <sheetName val="6755_1.10.0.00_ht"/>
      <sheetName val="6755_coolers"/>
      <sheetName val="6755_tz"/>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5.xml><?xml version="1.0" encoding="utf-8"?>
<externalLink xmlns="http://schemas.openxmlformats.org/spreadsheetml/2006/main">
  <externalBook xmlns:r="http://schemas.openxmlformats.org/officeDocument/2006/relationships" r:id="rId1">
    <sheetNames>
      <sheetName val="6795_1.10.1.03_atm_ctm"/>
      <sheetName val="6795_1.10.1.03_atm"/>
      <sheetName val="6795_1.10.1.03_tp"/>
      <sheetName val="6795_1.10.1.03_ht"/>
      <sheetName val="6595_coolers"/>
      <sheetName val="6595_tz"/>
      <sheetName val="Doc_History"/>
    </sheetNames>
    <sheetDataSet>
      <sheetData sheetId="0"/>
      <sheetData sheetId="1"/>
      <sheetData sheetId="2"/>
      <sheetData sheetId="3"/>
      <sheetData sheetId="4"/>
      <sheetData sheetId="5"/>
      <sheetData sheetId="6"/>
    </sheetDataSet>
  </externalBook>
</externalLink>
</file>

<file path=xl/externalLinks/externalLink6.xml><?xml version="1.0" encoding="utf-8"?>
<externalLink xmlns="http://schemas.openxmlformats.org/spreadsheetml/2006/main">
  <externalBook xmlns:r="http://schemas.openxmlformats.org/officeDocument/2006/relationships" r:id="rId1">
    <sheetNames>
      <sheetName val="6752_1.9.1.03_atm"/>
      <sheetName val="6752_1.9.1.03_tp"/>
      <sheetName val="6752_1.9.1.03_ht"/>
      <sheetName val="6752_coolers"/>
      <sheetName val="6752_tz"/>
    </sheetNames>
    <sheetDataSet>
      <sheetData sheetId="0"/>
      <sheetData sheetId="1"/>
      <sheetData sheetId="2"/>
      <sheetData sheetId="3"/>
      <sheetData sheetId="4"/>
    </sheetDataSet>
  </externalBook>
</externalLink>
</file>

<file path=xl/tables/table1.xml><?xml version="1.0" encoding="utf-8"?>
<table xmlns="http://schemas.openxmlformats.org/spreadsheetml/2006/main" id="1" name="Table37" displayName="Table37" ref="A1:C72" totalsRowShown="0">
  <autoFilter ref="A1:C72"/>
  <tableColumns count="3">
    <tableColumn id="1" name="Cooler name" dataDxfId="0"/>
    <tableColumn id="2" name="Cooler Config Path"/>
    <tableColumn id="3" name="Description"/>
  </tableColumns>
  <tableStyleInfo name="TableStyleMedium9" showFirstColumn="0" showLastColumn="0" showRowStripes="1" showColumnStripes="0"/>
</table>
</file>

<file path=xl/tables/table2.xml><?xml version="1.0" encoding="utf-8"?>
<table xmlns="http://schemas.openxmlformats.org/spreadsheetml/2006/main" id="5" name="Table16" displayName="Table16" ref="A1:C15" totalsRowShown="0">
  <autoFilter ref="A1:C15"/>
  <tableColumns count="3">
    <tableColumn id="1" name="Thermal Zone Name"/>
    <tableColumn id="2" name="Thermal Zone Config path"/>
    <tableColumn id="3" name="Description"/>
  </tableColumns>
  <tableStyleInfo name="TableStyleMedium9"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sheetPr codeName="Sheet87">
    <tabColor rgb="FFFF0000"/>
  </sheetPr>
  <dimension ref="A1:BA122"/>
  <sheetViews>
    <sheetView topLeftCell="N1" zoomScale="90" zoomScaleNormal="90" workbookViewId="0">
      <selection activeCell="AA20" sqref="AA20"/>
    </sheetView>
  </sheetViews>
  <sheetFormatPr defaultRowHeight="14.2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9.140625" style="7"/>
    <col min="54" max="16384" width="9.140625" style="1"/>
  </cols>
  <sheetData>
    <row r="1" spans="1:53" ht="57.75" customHeight="1">
      <c r="A1" s="1" t="s">
        <v>182</v>
      </c>
      <c r="B1" s="2" t="s">
        <v>35</v>
      </c>
      <c r="C1" s="3" t="s">
        <v>23</v>
      </c>
      <c r="D1" s="4" t="s">
        <v>36</v>
      </c>
      <c r="E1" s="5"/>
      <c r="F1" s="2" t="s">
        <v>35</v>
      </c>
      <c r="G1" s="3" t="s">
        <v>24</v>
      </c>
      <c r="H1" s="4" t="s">
        <v>36</v>
      </c>
      <c r="I1" s="5"/>
      <c r="J1" s="2" t="s">
        <v>35</v>
      </c>
      <c r="K1" s="3" t="s">
        <v>25</v>
      </c>
      <c r="L1" s="4" t="s">
        <v>37</v>
      </c>
      <c r="M1" s="6"/>
      <c r="N1" s="2" t="s">
        <v>35</v>
      </c>
      <c r="O1" s="3" t="s">
        <v>26</v>
      </c>
      <c r="P1" s="4" t="s">
        <v>36</v>
      </c>
      <c r="Q1" s="6"/>
      <c r="R1" s="2" t="s">
        <v>35</v>
      </c>
      <c r="S1" s="3" t="s">
        <v>34</v>
      </c>
      <c r="T1" s="4" t="s">
        <v>36</v>
      </c>
      <c r="U1" s="6"/>
      <c r="V1" s="2" t="s">
        <v>35</v>
      </c>
      <c r="W1" s="3" t="s">
        <v>27</v>
      </c>
      <c r="X1" s="4" t="s">
        <v>36</v>
      </c>
      <c r="Y1" s="6"/>
      <c r="Z1" s="2" t="s">
        <v>35</v>
      </c>
      <c r="AA1" s="3" t="s">
        <v>68</v>
      </c>
      <c r="AB1" s="4" t="s">
        <v>36</v>
      </c>
      <c r="AC1" s="6"/>
      <c r="AD1" s="2" t="s">
        <v>35</v>
      </c>
      <c r="AE1" s="3" t="s">
        <v>69</v>
      </c>
      <c r="AF1" s="4" t="s">
        <v>36</v>
      </c>
      <c r="AG1" s="6"/>
      <c r="AH1" s="2" t="s">
        <v>35</v>
      </c>
      <c r="AI1" s="3" t="s">
        <v>132</v>
      </c>
      <c r="AJ1" s="4" t="s">
        <v>36</v>
      </c>
      <c r="AK1" s="6"/>
      <c r="AL1" s="2" t="s">
        <v>35</v>
      </c>
      <c r="AM1" s="3" t="s">
        <v>128</v>
      </c>
      <c r="AN1" s="4" t="s">
        <v>36</v>
      </c>
      <c r="AO1" s="6"/>
      <c r="AP1" s="2" t="s">
        <v>35</v>
      </c>
      <c r="AQ1" s="3" t="s">
        <v>233</v>
      </c>
      <c r="AR1" s="4" t="s">
        <v>36</v>
      </c>
      <c r="AS1" s="6"/>
      <c r="AT1" s="2" t="s">
        <v>35</v>
      </c>
      <c r="AU1" s="3" t="s">
        <v>234</v>
      </c>
      <c r="AV1" s="4" t="s">
        <v>36</v>
      </c>
      <c r="AW1" s="6"/>
      <c r="AX1" s="2" t="s">
        <v>35</v>
      </c>
      <c r="AY1" s="3" t="s">
        <v>129</v>
      </c>
      <c r="AZ1" s="4" t="s">
        <v>36</v>
      </c>
      <c r="BA1" s="51"/>
    </row>
    <row r="2" spans="1:53" ht="30.75" customHeight="1">
      <c r="B2" s="2" t="s">
        <v>9</v>
      </c>
      <c r="C2" s="3">
        <v>2</v>
      </c>
      <c r="D2" s="8"/>
      <c r="E2" s="9"/>
      <c r="F2" s="2" t="s">
        <v>9</v>
      </c>
      <c r="G2" s="3">
        <v>1</v>
      </c>
      <c r="H2" s="8"/>
      <c r="I2" s="10"/>
      <c r="J2" s="2" t="s">
        <v>9</v>
      </c>
      <c r="K2" s="57">
        <v>1</v>
      </c>
      <c r="L2" s="8"/>
      <c r="M2" s="10"/>
      <c r="N2" s="2" t="s">
        <v>9</v>
      </c>
      <c r="O2" s="3">
        <v>1</v>
      </c>
      <c r="P2" s="8"/>
      <c r="Q2" s="10"/>
      <c r="R2" s="2" t="s">
        <v>9</v>
      </c>
      <c r="S2" s="3">
        <v>1</v>
      </c>
      <c r="T2" s="8"/>
      <c r="U2" s="10"/>
      <c r="V2" s="2" t="s">
        <v>9</v>
      </c>
      <c r="W2" s="3">
        <v>1</v>
      </c>
      <c r="X2" s="8"/>
      <c r="Y2" s="10"/>
      <c r="Z2" s="2" t="s">
        <v>9</v>
      </c>
      <c r="AA2" s="3">
        <v>3</v>
      </c>
      <c r="AB2" s="8"/>
      <c r="AC2" s="10"/>
      <c r="AD2" s="2" t="s">
        <v>9</v>
      </c>
      <c r="AE2" s="3">
        <v>1</v>
      </c>
      <c r="AF2" s="8"/>
      <c r="AG2" s="10"/>
      <c r="AH2" s="2" t="s">
        <v>9</v>
      </c>
      <c r="AI2" s="3">
        <v>1</v>
      </c>
      <c r="AJ2" s="46"/>
      <c r="AK2" s="10"/>
      <c r="AL2" s="2" t="s">
        <v>9</v>
      </c>
      <c r="AM2" s="3">
        <v>0</v>
      </c>
      <c r="AN2" s="8"/>
      <c r="AO2" s="10"/>
      <c r="AP2" s="2" t="s">
        <v>9</v>
      </c>
      <c r="AQ2" s="3">
        <v>0</v>
      </c>
      <c r="AR2" s="8"/>
      <c r="AS2" s="10"/>
      <c r="AT2" s="2" t="s">
        <v>9</v>
      </c>
      <c r="AU2" s="3">
        <v>0</v>
      </c>
      <c r="AV2" s="8"/>
      <c r="AW2" s="10"/>
      <c r="AX2" s="2" t="s">
        <v>9</v>
      </c>
      <c r="AY2" s="3">
        <v>0</v>
      </c>
      <c r="AZ2" s="8"/>
      <c r="BA2" s="51"/>
    </row>
    <row r="3" spans="1:53" ht="15" customHeight="1">
      <c r="A3" s="11"/>
      <c r="B3" s="12" t="s">
        <v>7</v>
      </c>
      <c r="C3" s="13">
        <v>117000</v>
      </c>
      <c r="D3" s="14"/>
      <c r="E3" s="9"/>
      <c r="F3" s="12" t="s">
        <v>7</v>
      </c>
      <c r="G3" s="13">
        <v>145000</v>
      </c>
      <c r="H3" s="14"/>
      <c r="I3" s="10"/>
      <c r="J3" s="12" t="s">
        <v>7</v>
      </c>
      <c r="K3" s="13">
        <v>60000</v>
      </c>
      <c r="L3" s="14"/>
      <c r="M3" s="10"/>
      <c r="N3" s="12" t="s">
        <v>7</v>
      </c>
      <c r="O3" s="13">
        <v>120000</v>
      </c>
      <c r="P3" s="14"/>
      <c r="Q3" s="10"/>
      <c r="R3" s="12" t="s">
        <v>7</v>
      </c>
      <c r="S3" s="13">
        <v>117000</v>
      </c>
      <c r="T3" s="14"/>
      <c r="U3" s="10"/>
      <c r="V3" s="12" t="s">
        <v>7</v>
      </c>
      <c r="W3" s="13">
        <v>120000</v>
      </c>
      <c r="X3" s="14"/>
      <c r="Y3" s="10"/>
      <c r="Z3" s="12" t="s">
        <v>7</v>
      </c>
      <c r="AA3" s="13">
        <v>100000</v>
      </c>
      <c r="AB3" s="14"/>
      <c r="AC3" s="10"/>
      <c r="AD3" s="12" t="s">
        <v>7</v>
      </c>
      <c r="AE3" s="13">
        <v>120000</v>
      </c>
      <c r="AF3" s="14"/>
      <c r="AG3" s="10"/>
      <c r="AH3" s="12" t="s">
        <v>7</v>
      </c>
      <c r="AI3" s="13">
        <v>120000</v>
      </c>
      <c r="AJ3" s="43"/>
      <c r="AK3" s="10"/>
      <c r="AL3" s="12" t="s">
        <v>7</v>
      </c>
      <c r="AM3" s="13">
        <v>0</v>
      </c>
      <c r="AN3" s="14"/>
      <c r="AO3" s="10"/>
      <c r="AP3" s="12" t="s">
        <v>7</v>
      </c>
      <c r="AQ3" s="13">
        <v>0</v>
      </c>
      <c r="AR3" s="14"/>
      <c r="AS3" s="10"/>
      <c r="AT3" s="12" t="s">
        <v>7</v>
      </c>
      <c r="AU3" s="13">
        <v>0</v>
      </c>
      <c r="AV3" s="14"/>
      <c r="AW3" s="10"/>
      <c r="AX3" s="12" t="s">
        <v>7</v>
      </c>
      <c r="AY3" s="13">
        <v>0</v>
      </c>
      <c r="AZ3" s="14"/>
      <c r="BA3" s="51"/>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15">
        <v>0</v>
      </c>
      <c r="AJ4" s="43"/>
      <c r="AK4" s="10"/>
      <c r="AL4" s="12" t="s">
        <v>6</v>
      </c>
      <c r="AM4" s="15">
        <v>0</v>
      </c>
      <c r="AN4" s="14"/>
      <c r="AO4" s="10"/>
      <c r="AP4" s="12" t="s">
        <v>6</v>
      </c>
      <c r="AQ4" s="15">
        <v>0</v>
      </c>
      <c r="AR4" s="14"/>
      <c r="AS4" s="10"/>
      <c r="AT4" s="12" t="s">
        <v>6</v>
      </c>
      <c r="AU4" s="15">
        <v>0</v>
      </c>
      <c r="AV4" s="14"/>
      <c r="AW4" s="10"/>
      <c r="AX4" s="12" t="s">
        <v>6</v>
      </c>
      <c r="AY4" s="15">
        <v>0</v>
      </c>
      <c r="AZ4" s="14"/>
      <c r="BA4" s="51"/>
    </row>
    <row r="5" spans="1:53" ht="15" customHeight="1">
      <c r="A5" s="11"/>
      <c r="B5" s="12" t="s">
        <v>5</v>
      </c>
      <c r="C5" s="13" t="s">
        <v>15</v>
      </c>
      <c r="D5" s="14"/>
      <c r="E5" s="9"/>
      <c r="F5" s="12" t="s">
        <v>5</v>
      </c>
      <c r="G5" s="13" t="s">
        <v>1</v>
      </c>
      <c r="H5" s="14"/>
      <c r="I5" s="10"/>
      <c r="J5" s="12" t="s">
        <v>5</v>
      </c>
      <c r="K5" s="13" t="s">
        <v>2</v>
      </c>
      <c r="L5" s="14"/>
      <c r="M5" s="10"/>
      <c r="N5" s="12" t="s">
        <v>5</v>
      </c>
      <c r="O5" s="13" t="s">
        <v>3</v>
      </c>
      <c r="P5" s="14"/>
      <c r="Q5" s="10"/>
      <c r="R5" s="12" t="s">
        <v>5</v>
      </c>
      <c r="S5" s="13" t="s">
        <v>0</v>
      </c>
      <c r="T5" s="14"/>
      <c r="U5" s="10"/>
      <c r="V5" s="12" t="s">
        <v>5</v>
      </c>
      <c r="W5" s="13" t="s">
        <v>16</v>
      </c>
      <c r="X5" s="14"/>
      <c r="Y5" s="10"/>
      <c r="Z5" s="12" t="s">
        <v>5</v>
      </c>
      <c r="AA5" s="13" t="s">
        <v>17</v>
      </c>
      <c r="AB5" s="14"/>
      <c r="AC5" s="10"/>
      <c r="AD5" s="12" t="s">
        <v>5</v>
      </c>
      <c r="AE5" s="13" t="s">
        <v>108</v>
      </c>
      <c r="AF5" s="14"/>
      <c r="AG5" s="10"/>
      <c r="AH5" s="12" t="s">
        <v>5</v>
      </c>
      <c r="AI5" s="13" t="s">
        <v>108</v>
      </c>
      <c r="AJ5" s="43"/>
      <c r="AK5" s="10"/>
      <c r="AL5" s="12" t="s">
        <v>5</v>
      </c>
      <c r="AM5" s="13" t="s">
        <v>4</v>
      </c>
      <c r="AN5" s="14"/>
      <c r="AO5" s="10"/>
      <c r="AP5" s="12" t="s">
        <v>5</v>
      </c>
      <c r="AQ5" s="13" t="s">
        <v>4</v>
      </c>
      <c r="AR5" s="14"/>
      <c r="AS5" s="10"/>
      <c r="AT5" s="12" t="s">
        <v>5</v>
      </c>
      <c r="AU5" s="13" t="s">
        <v>4</v>
      </c>
      <c r="AV5" s="14"/>
      <c r="AW5" s="10"/>
      <c r="AX5" s="12" t="s">
        <v>5</v>
      </c>
      <c r="AY5" s="13" t="s">
        <v>4</v>
      </c>
      <c r="AZ5" s="14"/>
      <c r="BA5" s="51"/>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4">
        <v>0</v>
      </c>
      <c r="AG6" s="10"/>
      <c r="AH6" s="12" t="s">
        <v>11</v>
      </c>
      <c r="AI6" s="15" t="s">
        <v>13</v>
      </c>
      <c r="AJ6" s="15">
        <v>0</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s="51"/>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s="51"/>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s="51"/>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s="51"/>
    </row>
    <row r="10" spans="1:53" ht="15" customHeight="1">
      <c r="A10" s="11"/>
      <c r="B10" s="12" t="s">
        <v>7</v>
      </c>
      <c r="C10" s="44">
        <v>67000</v>
      </c>
      <c r="D10" s="14"/>
      <c r="E10" s="10"/>
      <c r="F10" s="12" t="s">
        <v>7</v>
      </c>
      <c r="G10" s="13">
        <v>0</v>
      </c>
      <c r="H10" s="14"/>
      <c r="I10" s="10"/>
      <c r="J10" s="12" t="s">
        <v>7</v>
      </c>
      <c r="K10" s="13">
        <v>0</v>
      </c>
      <c r="L10" s="14"/>
      <c r="M10" s="10"/>
      <c r="N10" s="12" t="s">
        <v>7</v>
      </c>
      <c r="O10" s="13">
        <v>0</v>
      </c>
      <c r="P10" s="14"/>
      <c r="Q10" s="10"/>
      <c r="R10" s="12" t="s">
        <v>7</v>
      </c>
      <c r="S10" s="13">
        <v>0</v>
      </c>
      <c r="T10" s="14"/>
      <c r="U10" s="10"/>
      <c r="V10" s="12" t="s">
        <v>7</v>
      </c>
      <c r="W10" s="13">
        <v>0</v>
      </c>
      <c r="X10" s="14"/>
      <c r="Y10" s="10"/>
      <c r="Z10" s="12" t="s">
        <v>7</v>
      </c>
      <c r="AA10" s="50">
        <v>90000</v>
      </c>
      <c r="AB10" s="14"/>
      <c r="AC10" s="10"/>
      <c r="AD10" s="12" t="s">
        <v>7</v>
      </c>
      <c r="AE10" s="13">
        <v>0</v>
      </c>
      <c r="AF10" s="14"/>
      <c r="AG10" s="10"/>
      <c r="AH10" s="12" t="s">
        <v>7</v>
      </c>
      <c r="AI10" s="13">
        <v>0</v>
      </c>
      <c r="AJ10" s="14"/>
      <c r="AK10" s="10"/>
      <c r="AL10" s="12" t="s">
        <v>7</v>
      </c>
      <c r="AM10" s="13">
        <v>0</v>
      </c>
      <c r="AN10" s="14"/>
      <c r="AO10" s="10"/>
      <c r="AP10" s="12" t="s">
        <v>7</v>
      </c>
      <c r="AQ10" s="13">
        <v>0</v>
      </c>
      <c r="AR10" s="14"/>
      <c r="AS10" s="10"/>
      <c r="AT10" s="12" t="s">
        <v>7</v>
      </c>
      <c r="AU10" s="13">
        <v>0</v>
      </c>
      <c r="AV10" s="14"/>
      <c r="AW10" s="10"/>
      <c r="AX10" s="12" t="s">
        <v>7</v>
      </c>
      <c r="AY10" s="13">
        <v>0</v>
      </c>
      <c r="AZ10" s="14"/>
      <c r="BA10" s="51"/>
    </row>
    <row r="11" spans="1:53" ht="15" customHeight="1">
      <c r="A11" s="11"/>
      <c r="B11" s="12" t="s">
        <v>6</v>
      </c>
      <c r="C11" s="15">
        <v>0</v>
      </c>
      <c r="D11" s="14"/>
      <c r="E11" s="10"/>
      <c r="F11" s="12" t="s">
        <v>6</v>
      </c>
      <c r="G11" s="15">
        <v>0</v>
      </c>
      <c r="H11" s="14"/>
      <c r="I11" s="10"/>
      <c r="J11" s="12" t="s">
        <v>6</v>
      </c>
      <c r="K11" s="15">
        <v>0</v>
      </c>
      <c r="L11" s="14"/>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15">
        <v>0</v>
      </c>
      <c r="AJ11" s="14"/>
      <c r="AK11" s="10"/>
      <c r="AL11" s="12" t="s">
        <v>6</v>
      </c>
      <c r="AM11" s="15">
        <v>0</v>
      </c>
      <c r="AN11" s="14"/>
      <c r="AO11" s="10"/>
      <c r="AP11" s="12" t="s">
        <v>6</v>
      </c>
      <c r="AQ11" s="15">
        <v>0</v>
      </c>
      <c r="AR11" s="14"/>
      <c r="AS11" s="10"/>
      <c r="AT11" s="12" t="s">
        <v>6</v>
      </c>
      <c r="AU11" s="15">
        <v>0</v>
      </c>
      <c r="AV11" s="14"/>
      <c r="AW11" s="10"/>
      <c r="AX11" s="12" t="s">
        <v>6</v>
      </c>
      <c r="AY11" s="15">
        <v>0</v>
      </c>
      <c r="AZ11" s="14"/>
      <c r="BA11" s="51"/>
    </row>
    <row r="12" spans="1:53" ht="15" customHeight="1">
      <c r="A12" s="11"/>
      <c r="B12" s="12" t="s">
        <v>5</v>
      </c>
      <c r="C12" s="13" t="s">
        <v>51</v>
      </c>
      <c r="D12" s="14"/>
      <c r="E12" s="10"/>
      <c r="F12" s="12" t="s">
        <v>5</v>
      </c>
      <c r="G12" s="13" t="s">
        <v>4</v>
      </c>
      <c r="H12" s="14"/>
      <c r="I12" s="10"/>
      <c r="J12" s="12" t="s">
        <v>5</v>
      </c>
      <c r="K12" s="13" t="s">
        <v>4</v>
      </c>
      <c r="L12" s="14"/>
      <c r="M12" s="10"/>
      <c r="N12" s="12" t="s">
        <v>5</v>
      </c>
      <c r="O12" s="13" t="s">
        <v>4</v>
      </c>
      <c r="P12" s="14"/>
      <c r="Q12" s="10"/>
      <c r="R12" s="12" t="s">
        <v>5</v>
      </c>
      <c r="S12" s="13" t="s">
        <v>4</v>
      </c>
      <c r="T12" s="14"/>
      <c r="U12" s="10"/>
      <c r="V12" s="12" t="s">
        <v>5</v>
      </c>
      <c r="W12" s="13" t="s">
        <v>4</v>
      </c>
      <c r="X12" s="14"/>
      <c r="Y12" s="10"/>
      <c r="Z12" s="12" t="s">
        <v>5</v>
      </c>
      <c r="AA12" s="50" t="s">
        <v>107</v>
      </c>
      <c r="AB12" s="14"/>
      <c r="AC12" s="10"/>
      <c r="AD12" s="12" t="s">
        <v>5</v>
      </c>
      <c r="AE12" s="13" t="s">
        <v>4</v>
      </c>
      <c r="AF12" s="14"/>
      <c r="AG12" s="10"/>
      <c r="AH12" s="12" t="s">
        <v>5</v>
      </c>
      <c r="AI12" s="13" t="s">
        <v>4</v>
      </c>
      <c r="AJ12" s="14"/>
      <c r="AK12" s="10"/>
      <c r="AL12" s="12" t="s">
        <v>5</v>
      </c>
      <c r="AM12" s="13" t="s">
        <v>4</v>
      </c>
      <c r="AN12" s="14"/>
      <c r="AO12" s="10"/>
      <c r="AP12" s="12" t="s">
        <v>5</v>
      </c>
      <c r="AQ12" s="13" t="s">
        <v>4</v>
      </c>
      <c r="AR12" s="14"/>
      <c r="AS12" s="10"/>
      <c r="AT12" s="12" t="s">
        <v>5</v>
      </c>
      <c r="AU12" s="13" t="s">
        <v>4</v>
      </c>
      <c r="AV12" s="14"/>
      <c r="AW12" s="10"/>
      <c r="AX12" s="12" t="s">
        <v>5</v>
      </c>
      <c r="AY12" s="13" t="s">
        <v>4</v>
      </c>
      <c r="AZ12" s="14"/>
      <c r="BA12" s="51"/>
    </row>
    <row r="13" spans="1:53" ht="15" customHeight="1">
      <c r="A13" s="11"/>
      <c r="B13" s="12" t="s">
        <v>11</v>
      </c>
      <c r="C13" s="15" t="s">
        <v>131</v>
      </c>
      <c r="D13" s="14">
        <v>6000</v>
      </c>
      <c r="E13" s="9"/>
      <c r="F13" s="12" t="s">
        <v>11</v>
      </c>
      <c r="G13" s="15" t="s">
        <v>13</v>
      </c>
      <c r="H13" s="14">
        <v>0</v>
      </c>
      <c r="I13" s="10"/>
      <c r="J13" s="12" t="s">
        <v>11</v>
      </c>
      <c r="K13" s="15" t="s">
        <v>13</v>
      </c>
      <c r="L13" s="14">
        <v>0</v>
      </c>
      <c r="M13" s="10"/>
      <c r="N13" s="12" t="s">
        <v>11</v>
      </c>
      <c r="O13" s="15" t="s">
        <v>13</v>
      </c>
      <c r="P13" s="14">
        <v>0</v>
      </c>
      <c r="Q13" s="10"/>
      <c r="R13" s="12" t="s">
        <v>11</v>
      </c>
      <c r="S13" s="15" t="s">
        <v>13</v>
      </c>
      <c r="T13" s="14">
        <v>0</v>
      </c>
      <c r="U13" s="10"/>
      <c r="V13" s="12" t="s">
        <v>11</v>
      </c>
      <c r="W13" s="15" t="s">
        <v>13</v>
      </c>
      <c r="X13" s="14">
        <v>0</v>
      </c>
      <c r="Y13" s="10"/>
      <c r="Z13" s="12" t="s">
        <v>11</v>
      </c>
      <c r="AA13" s="15" t="s">
        <v>13</v>
      </c>
      <c r="AB13" s="14">
        <v>0</v>
      </c>
      <c r="AC13" s="10"/>
      <c r="AD13" s="12" t="s">
        <v>11</v>
      </c>
      <c r="AE13" s="15" t="s">
        <v>13</v>
      </c>
      <c r="AF13" s="14">
        <v>0</v>
      </c>
      <c r="AG13" s="10"/>
      <c r="AH13" s="12" t="s">
        <v>11</v>
      </c>
      <c r="AI13" s="15" t="s">
        <v>13</v>
      </c>
      <c r="AJ13" s="14">
        <v>0</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s="51"/>
    </row>
    <row r="14" spans="1:53" ht="15" customHeight="1">
      <c r="A14" s="11"/>
      <c r="B14" s="12" t="s">
        <v>12</v>
      </c>
      <c r="C14" s="15" t="s">
        <v>13</v>
      </c>
      <c r="D14" s="14">
        <v>0</v>
      </c>
      <c r="E14" s="9"/>
      <c r="F14" s="12" t="s">
        <v>12</v>
      </c>
      <c r="G14" s="15" t="s">
        <v>13</v>
      </c>
      <c r="H14" s="14">
        <v>0</v>
      </c>
      <c r="I14" s="10"/>
      <c r="J14" s="12" t="s">
        <v>12</v>
      </c>
      <c r="K14" s="15" t="s">
        <v>13</v>
      </c>
      <c r="L14" s="14">
        <v>0</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4">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s="51"/>
    </row>
    <row r="15" spans="1:53" ht="15" customHeight="1">
      <c r="A15" s="11"/>
      <c r="B15" s="12" t="s">
        <v>14</v>
      </c>
      <c r="C15" s="15" t="s">
        <v>13</v>
      </c>
      <c r="D15" s="14">
        <v>0</v>
      </c>
      <c r="E15" s="9"/>
      <c r="F15" s="12" t="s">
        <v>14</v>
      </c>
      <c r="G15" s="15" t="s">
        <v>13</v>
      </c>
      <c r="H15" s="14">
        <v>0</v>
      </c>
      <c r="I15" s="10"/>
      <c r="J15" s="12" t="s">
        <v>14</v>
      </c>
      <c r="K15" s="15" t="s">
        <v>13</v>
      </c>
      <c r="L15" s="14">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s="51"/>
    </row>
    <row r="16" spans="1:53" s="20" customFormat="1" ht="5.0999999999999996" customHeight="1">
      <c r="A16" s="17"/>
      <c r="B16" s="18"/>
      <c r="C16" s="18"/>
      <c r="D16" s="18"/>
      <c r="E16" s="19"/>
      <c r="F16" s="18"/>
      <c r="G16" s="18"/>
      <c r="H16" s="18"/>
      <c r="I16" s="19"/>
      <c r="J16" s="18"/>
      <c r="K16" s="56"/>
      <c r="L16" s="56"/>
      <c r="M16" s="19"/>
      <c r="N16" s="18"/>
      <c r="O16" s="18"/>
      <c r="P16" s="18"/>
      <c r="Q16" s="19"/>
      <c r="R16" s="18"/>
      <c r="S16" s="18"/>
      <c r="T16" s="18"/>
      <c r="U16" s="19"/>
      <c r="V16" s="18"/>
      <c r="W16" s="18"/>
      <c r="X16" s="18"/>
      <c r="Y16" s="19"/>
      <c r="Z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s="51"/>
    </row>
    <row r="17" spans="1:53" ht="15" customHeight="1">
      <c r="A17" s="11"/>
      <c r="B17" s="12" t="s">
        <v>7</v>
      </c>
      <c r="C17" s="13">
        <v>0</v>
      </c>
      <c r="D17" s="14"/>
      <c r="E17" s="10"/>
      <c r="F17" s="12" t="s">
        <v>7</v>
      </c>
      <c r="G17" s="13">
        <v>0</v>
      </c>
      <c r="H17" s="14"/>
      <c r="I17" s="10"/>
      <c r="J17" s="12" t="s">
        <v>7</v>
      </c>
      <c r="K17" s="13">
        <v>0</v>
      </c>
      <c r="L17" s="14"/>
      <c r="M17" s="10"/>
      <c r="N17" s="12" t="s">
        <v>7</v>
      </c>
      <c r="O17" s="13">
        <v>0</v>
      </c>
      <c r="P17" s="14"/>
      <c r="Q17" s="10"/>
      <c r="R17" s="12" t="s">
        <v>7</v>
      </c>
      <c r="S17" s="13">
        <v>0</v>
      </c>
      <c r="T17" s="14"/>
      <c r="U17" s="10"/>
      <c r="V17" s="12" t="s">
        <v>7</v>
      </c>
      <c r="W17" s="13">
        <v>0</v>
      </c>
      <c r="X17" s="14"/>
      <c r="Y17" s="10"/>
      <c r="Z17" s="12" t="s">
        <v>7</v>
      </c>
      <c r="AA17" s="58">
        <v>57000</v>
      </c>
      <c r="AB17" s="14"/>
      <c r="AC17" s="10"/>
      <c r="AD17" s="12" t="s">
        <v>7</v>
      </c>
      <c r="AE17" s="13">
        <v>0</v>
      </c>
      <c r="AF17" s="14"/>
      <c r="AG17" s="10"/>
      <c r="AH17" s="12" t="s">
        <v>7</v>
      </c>
      <c r="AI17" s="13">
        <v>0</v>
      </c>
      <c r="AJ17" s="14"/>
      <c r="AK17" s="10"/>
      <c r="AL17" s="12" t="s">
        <v>7</v>
      </c>
      <c r="AM17" s="13">
        <v>0</v>
      </c>
      <c r="AN17" s="14"/>
      <c r="AO17" s="10"/>
      <c r="AP17" s="12" t="s">
        <v>7</v>
      </c>
      <c r="AQ17" s="13">
        <v>0</v>
      </c>
      <c r="AR17" s="14"/>
      <c r="AS17" s="10"/>
      <c r="AT17" s="12" t="s">
        <v>7</v>
      </c>
      <c r="AU17" s="13">
        <v>0</v>
      </c>
      <c r="AV17" s="14"/>
      <c r="AW17" s="10"/>
      <c r="AX17" s="12" t="s">
        <v>7</v>
      </c>
      <c r="AY17" s="13">
        <v>0</v>
      </c>
      <c r="AZ17" s="14"/>
      <c r="BA17" s="51"/>
    </row>
    <row r="18" spans="1:53" ht="15" customHeight="1">
      <c r="A18" s="11"/>
      <c r="B18" s="12" t="s">
        <v>6</v>
      </c>
      <c r="C18" s="15">
        <v>0</v>
      </c>
      <c r="D18" s="14"/>
      <c r="E18" s="10"/>
      <c r="F18" s="12" t="s">
        <v>6</v>
      </c>
      <c r="G18" s="15">
        <v>0</v>
      </c>
      <c r="H18" s="14"/>
      <c r="I18" s="10"/>
      <c r="J18" s="12" t="s">
        <v>6</v>
      </c>
      <c r="K18" s="15">
        <v>0</v>
      </c>
      <c r="L18" s="14"/>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15">
        <v>0</v>
      </c>
      <c r="AJ18" s="14"/>
      <c r="AK18" s="10"/>
      <c r="AL18" s="12" t="s">
        <v>6</v>
      </c>
      <c r="AM18" s="15">
        <v>0</v>
      </c>
      <c r="AN18" s="14"/>
      <c r="AO18" s="10"/>
      <c r="AP18" s="12" t="s">
        <v>6</v>
      </c>
      <c r="AQ18" s="15">
        <v>0</v>
      </c>
      <c r="AR18" s="14"/>
      <c r="AS18" s="10"/>
      <c r="AT18" s="12" t="s">
        <v>6</v>
      </c>
      <c r="AU18" s="15">
        <v>0</v>
      </c>
      <c r="AV18" s="14"/>
      <c r="AW18" s="10"/>
      <c r="AX18" s="12" t="s">
        <v>6</v>
      </c>
      <c r="AY18" s="15">
        <v>0</v>
      </c>
      <c r="AZ18" s="14"/>
      <c r="BA18" s="51"/>
    </row>
    <row r="19" spans="1:53" ht="15" customHeight="1">
      <c r="A19" s="11"/>
      <c r="B19" s="12" t="s">
        <v>5</v>
      </c>
      <c r="C19" s="13" t="s">
        <v>4</v>
      </c>
      <c r="D19" s="14"/>
      <c r="E19" s="10"/>
      <c r="F19" s="12" t="s">
        <v>5</v>
      </c>
      <c r="G19" s="13" t="s">
        <v>4</v>
      </c>
      <c r="H19" s="14"/>
      <c r="I19" s="10"/>
      <c r="J19" s="12" t="s">
        <v>5</v>
      </c>
      <c r="K19" s="13" t="s">
        <v>4</v>
      </c>
      <c r="L19" s="14"/>
      <c r="M19" s="10"/>
      <c r="N19" s="12" t="s">
        <v>5</v>
      </c>
      <c r="O19" s="13" t="s">
        <v>4</v>
      </c>
      <c r="P19" s="14"/>
      <c r="Q19" s="10"/>
      <c r="R19" s="12" t="s">
        <v>5</v>
      </c>
      <c r="S19" s="13" t="s">
        <v>4</v>
      </c>
      <c r="T19" s="14"/>
      <c r="U19" s="10"/>
      <c r="V19" s="12" t="s">
        <v>5</v>
      </c>
      <c r="W19" s="13" t="s">
        <v>4</v>
      </c>
      <c r="X19" s="14"/>
      <c r="Y19" s="10"/>
      <c r="Z19" s="12" t="s">
        <v>5</v>
      </c>
      <c r="AA19" s="58" t="s">
        <v>265</v>
      </c>
      <c r="AB19" s="14"/>
      <c r="AC19" s="10"/>
      <c r="AD19" s="12" t="s">
        <v>5</v>
      </c>
      <c r="AE19" s="13" t="s">
        <v>4</v>
      </c>
      <c r="AF19" s="14"/>
      <c r="AG19" s="10"/>
      <c r="AH19" s="12" t="s">
        <v>5</v>
      </c>
      <c r="AI19" s="13" t="s">
        <v>4</v>
      </c>
      <c r="AJ19" s="14"/>
      <c r="AK19" s="10"/>
      <c r="AL19" s="12" t="s">
        <v>5</v>
      </c>
      <c r="AM19" s="13" t="s">
        <v>4</v>
      </c>
      <c r="AN19" s="14"/>
      <c r="AO19" s="10"/>
      <c r="AP19" s="12" t="s">
        <v>5</v>
      </c>
      <c r="AQ19" s="13" t="s">
        <v>4</v>
      </c>
      <c r="AR19" s="14"/>
      <c r="AS19" s="10"/>
      <c r="AT19" s="12" t="s">
        <v>5</v>
      </c>
      <c r="AU19" s="13" t="s">
        <v>4</v>
      </c>
      <c r="AV19" s="14"/>
      <c r="AW19" s="10"/>
      <c r="AX19" s="12" t="s">
        <v>5</v>
      </c>
      <c r="AY19" s="13" t="s">
        <v>4</v>
      </c>
      <c r="AZ19" s="14"/>
      <c r="BA19" s="51"/>
    </row>
    <row r="20" spans="1:53" ht="15" customHeight="1">
      <c r="A20" s="11"/>
      <c r="B20" s="12" t="s">
        <v>11</v>
      </c>
      <c r="C20" s="15" t="s">
        <v>13</v>
      </c>
      <c r="D20" s="43">
        <v>0</v>
      </c>
      <c r="E20" s="9"/>
      <c r="F20" s="12" t="s">
        <v>11</v>
      </c>
      <c r="G20" s="15" t="s">
        <v>13</v>
      </c>
      <c r="H20" s="14">
        <v>0</v>
      </c>
      <c r="I20" s="10"/>
      <c r="J20" s="12" t="s">
        <v>11</v>
      </c>
      <c r="K20" s="15" t="s">
        <v>13</v>
      </c>
      <c r="L20" s="14">
        <v>0</v>
      </c>
      <c r="M20" s="10"/>
      <c r="N20" s="12" t="s">
        <v>11</v>
      </c>
      <c r="O20" s="15" t="s">
        <v>13</v>
      </c>
      <c r="P20" s="14">
        <v>0</v>
      </c>
      <c r="Q20" s="10"/>
      <c r="R20" s="12" t="s">
        <v>11</v>
      </c>
      <c r="S20" s="15" t="s">
        <v>13</v>
      </c>
      <c r="T20" s="14">
        <v>0</v>
      </c>
      <c r="U20" s="10"/>
      <c r="V20" s="12" t="s">
        <v>11</v>
      </c>
      <c r="W20" s="15" t="s">
        <v>13</v>
      </c>
      <c r="X20" s="14">
        <v>0</v>
      </c>
      <c r="Y20" s="10"/>
      <c r="Z20" s="12" t="s">
        <v>11</v>
      </c>
      <c r="AA20" s="59" t="s">
        <v>131</v>
      </c>
      <c r="AB20" s="60">
        <v>5000</v>
      </c>
      <c r="AC20" s="10"/>
      <c r="AD20" s="12" t="s">
        <v>11</v>
      </c>
      <c r="AE20" s="15" t="s">
        <v>13</v>
      </c>
      <c r="AF20" s="14">
        <v>0</v>
      </c>
      <c r="AG20" s="10"/>
      <c r="AH20" s="12" t="s">
        <v>11</v>
      </c>
      <c r="AI20" s="15" t="s">
        <v>13</v>
      </c>
      <c r="AJ20" s="14">
        <v>0</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s="51"/>
    </row>
    <row r="21" spans="1:53" ht="15" customHeight="1">
      <c r="A21" s="11"/>
      <c r="B21" s="12" t="s">
        <v>12</v>
      </c>
      <c r="C21" s="15" t="s">
        <v>13</v>
      </c>
      <c r="D21" s="14">
        <v>0</v>
      </c>
      <c r="E21" s="9"/>
      <c r="F21" s="12" t="s">
        <v>12</v>
      </c>
      <c r="G21" s="15" t="s">
        <v>13</v>
      </c>
      <c r="H21" s="14">
        <v>0</v>
      </c>
      <c r="I21" s="10"/>
      <c r="J21" s="12" t="s">
        <v>12</v>
      </c>
      <c r="K21" s="15" t="s">
        <v>13</v>
      </c>
      <c r="L21" s="14">
        <v>0</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15" t="s">
        <v>13</v>
      </c>
      <c r="AJ21" s="14">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s="51"/>
    </row>
    <row r="22" spans="1:53" ht="15" customHeight="1">
      <c r="A22" s="11"/>
      <c r="B22" s="12" t="s">
        <v>14</v>
      </c>
      <c r="C22" s="15" t="s">
        <v>13</v>
      </c>
      <c r="D22" s="14">
        <v>0</v>
      </c>
      <c r="E22" s="9"/>
      <c r="F22" s="12" t="s">
        <v>14</v>
      </c>
      <c r="G22" s="15" t="s">
        <v>13</v>
      </c>
      <c r="H22" s="14">
        <v>0</v>
      </c>
      <c r="I22" s="10"/>
      <c r="J22" s="12" t="s">
        <v>14</v>
      </c>
      <c r="K22" s="15" t="s">
        <v>13</v>
      </c>
      <c r="L22" s="14">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15" t="s">
        <v>13</v>
      </c>
      <c r="AJ22" s="14">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s="51"/>
    </row>
    <row r="23" spans="1:53" s="20" customFormat="1" ht="5.0999999999999996" customHeight="1">
      <c r="A23" s="17"/>
      <c r="B23" s="18"/>
      <c r="C23" s="18"/>
      <c r="D23" s="18"/>
      <c r="E23" s="19"/>
      <c r="F23" s="18"/>
      <c r="G23" s="18"/>
      <c r="H23" s="18"/>
      <c r="I23" s="19"/>
      <c r="J23" s="18"/>
      <c r="K23" s="56"/>
      <c r="L23" s="56"/>
      <c r="M23" s="19"/>
      <c r="N23" s="18"/>
      <c r="O23" s="18"/>
      <c r="P23" s="18"/>
      <c r="Q23" s="19"/>
      <c r="R23" s="18"/>
      <c r="S23" s="18"/>
      <c r="T23" s="18"/>
      <c r="U23" s="19"/>
      <c r="V23" s="18"/>
      <c r="W23" s="18"/>
      <c r="X23" s="18"/>
      <c r="Y23" s="19"/>
      <c r="Z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s="51"/>
    </row>
    <row r="24" spans="1:53" ht="15" customHeight="1">
      <c r="A24" s="11"/>
      <c r="B24" s="12" t="s">
        <v>7</v>
      </c>
      <c r="C24" s="13">
        <v>0</v>
      </c>
      <c r="D24" s="14"/>
      <c r="E24" s="10"/>
      <c r="F24" s="12" t="s">
        <v>7</v>
      </c>
      <c r="G24" s="13">
        <v>0</v>
      </c>
      <c r="H24" s="14"/>
      <c r="I24" s="10"/>
      <c r="J24" s="12" t="s">
        <v>7</v>
      </c>
      <c r="K24" s="13">
        <v>0</v>
      </c>
      <c r="L24" s="14"/>
      <c r="M24" s="10"/>
      <c r="N24" s="12" t="s">
        <v>7</v>
      </c>
      <c r="O24" s="13">
        <v>0</v>
      </c>
      <c r="P24" s="14"/>
      <c r="Q24" s="10"/>
      <c r="R24" s="12" t="s">
        <v>7</v>
      </c>
      <c r="S24" s="13">
        <v>0</v>
      </c>
      <c r="T24" s="14"/>
      <c r="U24" s="10"/>
      <c r="V24" s="12" t="s">
        <v>7</v>
      </c>
      <c r="W24" s="13">
        <v>0</v>
      </c>
      <c r="X24" s="14"/>
      <c r="Y24" s="10"/>
      <c r="Z24" s="12" t="s">
        <v>7</v>
      </c>
      <c r="AA24" s="44">
        <v>50000</v>
      </c>
      <c r="AB24" s="43"/>
      <c r="AC24" s="10"/>
      <c r="AD24" s="12" t="s">
        <v>7</v>
      </c>
      <c r="AE24" s="13">
        <v>0</v>
      </c>
      <c r="AF24" s="14"/>
      <c r="AG24" s="10"/>
      <c r="AH24" s="12" t="s">
        <v>7</v>
      </c>
      <c r="AI24" s="13">
        <v>0</v>
      </c>
      <c r="AJ24" s="14"/>
      <c r="AK24" s="10"/>
      <c r="AL24" s="12" t="s">
        <v>7</v>
      </c>
      <c r="AM24" s="13">
        <v>0</v>
      </c>
      <c r="AN24" s="14"/>
      <c r="AO24" s="10"/>
      <c r="AP24" s="12" t="s">
        <v>7</v>
      </c>
      <c r="AQ24" s="13">
        <v>0</v>
      </c>
      <c r="AR24" s="14"/>
      <c r="AS24" s="10"/>
      <c r="AT24" s="12" t="s">
        <v>7</v>
      </c>
      <c r="AU24" s="13">
        <v>0</v>
      </c>
      <c r="AV24" s="14"/>
      <c r="AW24" s="10"/>
      <c r="AX24" s="12" t="s">
        <v>7</v>
      </c>
      <c r="AY24" s="13">
        <v>0</v>
      </c>
      <c r="AZ24" s="14"/>
      <c r="BA24" s="51"/>
    </row>
    <row r="25" spans="1:53" ht="15" customHeight="1">
      <c r="A25" s="11"/>
      <c r="B25" s="12" t="s">
        <v>6</v>
      </c>
      <c r="C25" s="15">
        <v>0</v>
      </c>
      <c r="D25" s="14"/>
      <c r="E25" s="10"/>
      <c r="F25" s="12" t="s">
        <v>6</v>
      </c>
      <c r="G25" s="15">
        <v>0</v>
      </c>
      <c r="H25" s="14"/>
      <c r="I25" s="10"/>
      <c r="J25" s="12" t="s">
        <v>6</v>
      </c>
      <c r="K25" s="15">
        <v>0</v>
      </c>
      <c r="L25" s="14"/>
      <c r="M25" s="10"/>
      <c r="N25" s="12" t="s">
        <v>6</v>
      </c>
      <c r="O25" s="15">
        <v>0</v>
      </c>
      <c r="P25" s="14"/>
      <c r="Q25" s="10"/>
      <c r="R25" s="12" t="s">
        <v>6</v>
      </c>
      <c r="S25" s="15">
        <v>0</v>
      </c>
      <c r="T25" s="14"/>
      <c r="U25" s="10"/>
      <c r="V25" s="12" t="s">
        <v>6</v>
      </c>
      <c r="W25" s="15">
        <v>0</v>
      </c>
      <c r="X25" s="14"/>
      <c r="Y25" s="10"/>
      <c r="Z25" s="12" t="s">
        <v>6</v>
      </c>
      <c r="AA25" s="44">
        <v>0</v>
      </c>
      <c r="AB25" s="43"/>
      <c r="AC25" s="10"/>
      <c r="AD25" s="12" t="s">
        <v>6</v>
      </c>
      <c r="AE25" s="15">
        <v>0</v>
      </c>
      <c r="AF25" s="14"/>
      <c r="AG25" s="10"/>
      <c r="AH25" s="12" t="s">
        <v>6</v>
      </c>
      <c r="AI25" s="15">
        <v>0</v>
      </c>
      <c r="AJ25" s="14"/>
      <c r="AK25" s="10"/>
      <c r="AL25" s="12" t="s">
        <v>6</v>
      </c>
      <c r="AM25" s="15">
        <v>0</v>
      </c>
      <c r="AN25" s="14"/>
      <c r="AO25" s="10"/>
      <c r="AP25" s="12" t="s">
        <v>6</v>
      </c>
      <c r="AQ25" s="15">
        <v>0</v>
      </c>
      <c r="AR25" s="14"/>
      <c r="AS25" s="10"/>
      <c r="AT25" s="12" t="s">
        <v>6</v>
      </c>
      <c r="AU25" s="15">
        <v>0</v>
      </c>
      <c r="AV25" s="14"/>
      <c r="AW25" s="10"/>
      <c r="AX25" s="12" t="s">
        <v>6</v>
      </c>
      <c r="AY25" s="15">
        <v>0</v>
      </c>
      <c r="AZ25" s="14"/>
      <c r="BA25" s="51"/>
    </row>
    <row r="26" spans="1:53" ht="15" customHeight="1">
      <c r="A26" s="11"/>
      <c r="B26" s="12" t="s">
        <v>5</v>
      </c>
      <c r="C26" s="13" t="s">
        <v>4</v>
      </c>
      <c r="D26" s="14"/>
      <c r="E26" s="10"/>
      <c r="F26" s="12" t="s">
        <v>5</v>
      </c>
      <c r="G26" s="13" t="s">
        <v>4</v>
      </c>
      <c r="H26" s="14"/>
      <c r="I26" s="10"/>
      <c r="J26" s="12" t="s">
        <v>5</v>
      </c>
      <c r="K26" s="13" t="s">
        <v>4</v>
      </c>
      <c r="L26" s="14"/>
      <c r="M26" s="10"/>
      <c r="N26" s="12" t="s">
        <v>5</v>
      </c>
      <c r="O26" s="13" t="s">
        <v>4</v>
      </c>
      <c r="P26" s="14"/>
      <c r="Q26" s="10"/>
      <c r="R26" s="12" t="s">
        <v>5</v>
      </c>
      <c r="S26" s="13" t="s">
        <v>4</v>
      </c>
      <c r="T26" s="14"/>
      <c r="U26" s="10"/>
      <c r="V26" s="12" t="s">
        <v>5</v>
      </c>
      <c r="W26" s="13" t="s">
        <v>4</v>
      </c>
      <c r="X26" s="14"/>
      <c r="Y26" s="10"/>
      <c r="Z26" s="12" t="s">
        <v>5</v>
      </c>
      <c r="AA26" s="44" t="s">
        <v>113</v>
      </c>
      <c r="AB26" s="43"/>
      <c r="AC26" s="10"/>
      <c r="AD26" s="12" t="s">
        <v>5</v>
      </c>
      <c r="AE26" s="13" t="s">
        <v>4</v>
      </c>
      <c r="AF26" s="14"/>
      <c r="AG26" s="10"/>
      <c r="AH26" s="12" t="s">
        <v>5</v>
      </c>
      <c r="AI26" s="13" t="s">
        <v>4</v>
      </c>
      <c r="AJ26" s="14"/>
      <c r="AK26" s="10"/>
      <c r="AL26" s="12" t="s">
        <v>5</v>
      </c>
      <c r="AM26" s="13" t="s">
        <v>4</v>
      </c>
      <c r="AN26" s="14"/>
      <c r="AO26" s="10"/>
      <c r="AP26" s="12" t="s">
        <v>5</v>
      </c>
      <c r="AQ26" s="13" t="s">
        <v>4</v>
      </c>
      <c r="AR26" s="14"/>
      <c r="AS26" s="10"/>
      <c r="AT26" s="12" t="s">
        <v>5</v>
      </c>
      <c r="AU26" s="13" t="s">
        <v>4</v>
      </c>
      <c r="AV26" s="14"/>
      <c r="AW26" s="10"/>
      <c r="AX26" s="12" t="s">
        <v>5</v>
      </c>
      <c r="AY26" s="13" t="s">
        <v>4</v>
      </c>
      <c r="AZ26" s="14"/>
      <c r="BA26" s="51"/>
    </row>
    <row r="27" spans="1:53" ht="15" customHeight="1">
      <c r="A27" s="11"/>
      <c r="B27" s="12" t="s">
        <v>11</v>
      </c>
      <c r="C27" s="15" t="s">
        <v>13</v>
      </c>
      <c r="D27" s="43">
        <v>0</v>
      </c>
      <c r="E27" s="9"/>
      <c r="F27" s="12" t="s">
        <v>11</v>
      </c>
      <c r="G27" s="15" t="s">
        <v>13</v>
      </c>
      <c r="H27" s="14">
        <v>0</v>
      </c>
      <c r="I27" s="10"/>
      <c r="J27" s="12" t="s">
        <v>11</v>
      </c>
      <c r="K27" s="15" t="s">
        <v>13</v>
      </c>
      <c r="L27" s="14">
        <v>0</v>
      </c>
      <c r="M27" s="10"/>
      <c r="N27" s="12" t="s">
        <v>11</v>
      </c>
      <c r="O27" s="15" t="s">
        <v>13</v>
      </c>
      <c r="P27" s="14">
        <v>0</v>
      </c>
      <c r="Q27" s="10"/>
      <c r="R27" s="12" t="s">
        <v>11</v>
      </c>
      <c r="S27" s="15" t="s">
        <v>13</v>
      </c>
      <c r="T27" s="14">
        <v>0</v>
      </c>
      <c r="U27" s="10"/>
      <c r="V27" s="12" t="s">
        <v>11</v>
      </c>
      <c r="W27" s="15" t="s">
        <v>13</v>
      </c>
      <c r="X27" s="14">
        <v>0</v>
      </c>
      <c r="Y27" s="10"/>
      <c r="Z27" s="12" t="s">
        <v>11</v>
      </c>
      <c r="AA27" s="44" t="s">
        <v>131</v>
      </c>
      <c r="AB27" s="43">
        <v>1999</v>
      </c>
      <c r="AC27" s="10"/>
      <c r="AD27" s="12" t="s">
        <v>11</v>
      </c>
      <c r="AE27" s="15" t="s">
        <v>13</v>
      </c>
      <c r="AF27" s="14">
        <v>0</v>
      </c>
      <c r="AG27" s="10"/>
      <c r="AH27" s="12" t="s">
        <v>11</v>
      </c>
      <c r="AI27" s="15" t="s">
        <v>13</v>
      </c>
      <c r="AJ27" s="14">
        <v>0</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s="51"/>
    </row>
    <row r="28" spans="1:53" ht="15" customHeight="1">
      <c r="A28" s="11"/>
      <c r="B28" s="12" t="s">
        <v>12</v>
      </c>
      <c r="C28" s="15" t="s">
        <v>13</v>
      </c>
      <c r="D28" s="14">
        <v>0</v>
      </c>
      <c r="E28" s="9"/>
      <c r="F28" s="12" t="s">
        <v>12</v>
      </c>
      <c r="G28" s="15" t="s">
        <v>13</v>
      </c>
      <c r="H28" s="16">
        <v>0</v>
      </c>
      <c r="I28" s="10"/>
      <c r="J28" s="12" t="s">
        <v>12</v>
      </c>
      <c r="K28" s="15" t="s">
        <v>13</v>
      </c>
      <c r="L28" s="14">
        <v>0</v>
      </c>
      <c r="M28" s="10"/>
      <c r="N28" s="12" t="s">
        <v>12</v>
      </c>
      <c r="O28" s="15" t="s">
        <v>13</v>
      </c>
      <c r="P28" s="16">
        <v>0</v>
      </c>
      <c r="Q28" s="10"/>
      <c r="R28" s="12" t="s">
        <v>12</v>
      </c>
      <c r="S28" s="15" t="s">
        <v>13</v>
      </c>
      <c r="T28" s="16">
        <v>0</v>
      </c>
      <c r="U28" s="10"/>
      <c r="V28" s="12" t="s">
        <v>12</v>
      </c>
      <c r="W28" s="15" t="s">
        <v>13</v>
      </c>
      <c r="X28" s="16">
        <v>0</v>
      </c>
      <c r="Y28" s="10"/>
      <c r="Z28" s="12" t="s">
        <v>12</v>
      </c>
      <c r="AA28" s="15" t="s">
        <v>13</v>
      </c>
      <c r="AB28" s="14">
        <v>0</v>
      </c>
      <c r="AC28" s="10"/>
      <c r="AD28" s="12" t="s">
        <v>12</v>
      </c>
      <c r="AE28" s="15" t="s">
        <v>13</v>
      </c>
      <c r="AF28" s="16">
        <v>0</v>
      </c>
      <c r="AG28" s="10"/>
      <c r="AH28" s="12" t="s">
        <v>12</v>
      </c>
      <c r="AI28" s="15" t="s">
        <v>13</v>
      </c>
      <c r="AJ28" s="14">
        <v>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s="51"/>
    </row>
    <row r="29" spans="1:53" ht="15" customHeight="1">
      <c r="A29" s="11"/>
      <c r="B29" s="12" t="s">
        <v>14</v>
      </c>
      <c r="C29" s="15" t="s">
        <v>13</v>
      </c>
      <c r="D29" s="14">
        <v>0</v>
      </c>
      <c r="E29" s="9"/>
      <c r="F29" s="12" t="s">
        <v>14</v>
      </c>
      <c r="G29" s="15" t="s">
        <v>13</v>
      </c>
      <c r="H29" s="14">
        <v>0</v>
      </c>
      <c r="I29" s="10"/>
      <c r="J29" s="12" t="s">
        <v>14</v>
      </c>
      <c r="K29" s="15" t="s">
        <v>13</v>
      </c>
      <c r="L29" s="14">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15" t="s">
        <v>13</v>
      </c>
      <c r="AJ29" s="14">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s="51"/>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s="51"/>
    </row>
    <row r="31" spans="1:53" ht="15" customHeight="1">
      <c r="A31" s="11"/>
      <c r="B31" s="12" t="s">
        <v>7</v>
      </c>
      <c r="C31" s="13">
        <v>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44">
        <v>49000</v>
      </c>
      <c r="AB31" s="43"/>
      <c r="AC31" s="10"/>
      <c r="AD31" s="12" t="s">
        <v>7</v>
      </c>
      <c r="AE31" s="13">
        <v>0</v>
      </c>
      <c r="AF31" s="14"/>
      <c r="AG31" s="10"/>
      <c r="AH31" s="12" t="s">
        <v>7</v>
      </c>
      <c r="AI31" s="13">
        <v>0</v>
      </c>
      <c r="AJ31" s="14"/>
      <c r="AK31" s="10"/>
      <c r="AL31" s="12" t="s">
        <v>7</v>
      </c>
      <c r="AM31" s="13">
        <v>0</v>
      </c>
      <c r="AN31" s="14"/>
      <c r="AO31" s="10"/>
      <c r="AP31" s="12" t="s">
        <v>7</v>
      </c>
      <c r="AQ31" s="13">
        <v>0</v>
      </c>
      <c r="AR31" s="14"/>
      <c r="AS31" s="10"/>
      <c r="AT31" s="12" t="s">
        <v>7</v>
      </c>
      <c r="AU31" s="13">
        <v>0</v>
      </c>
      <c r="AV31" s="14"/>
      <c r="AW31" s="10"/>
      <c r="AX31" s="12" t="s">
        <v>7</v>
      </c>
      <c r="AY31" s="13">
        <v>0</v>
      </c>
      <c r="AZ31" s="14"/>
      <c r="BA31" s="5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44">
        <v>0</v>
      </c>
      <c r="AB32" s="43"/>
      <c r="AC32" s="10"/>
      <c r="AD32" s="12" t="s">
        <v>6</v>
      </c>
      <c r="AE32" s="15">
        <v>0</v>
      </c>
      <c r="AF32" s="14"/>
      <c r="AG32" s="10"/>
      <c r="AH32" s="12" t="s">
        <v>6</v>
      </c>
      <c r="AI32" s="15">
        <v>0</v>
      </c>
      <c r="AJ32" s="14"/>
      <c r="AK32" s="10"/>
      <c r="AL32" s="12" t="s">
        <v>6</v>
      </c>
      <c r="AM32" s="15">
        <v>0</v>
      </c>
      <c r="AN32" s="14"/>
      <c r="AO32" s="10"/>
      <c r="AP32" s="12" t="s">
        <v>6</v>
      </c>
      <c r="AQ32" s="15">
        <v>0</v>
      </c>
      <c r="AR32" s="14"/>
      <c r="AS32" s="10"/>
      <c r="AT32" s="12" t="s">
        <v>6</v>
      </c>
      <c r="AU32" s="15">
        <v>0</v>
      </c>
      <c r="AV32" s="14"/>
      <c r="AW32" s="10"/>
      <c r="AX32" s="12" t="s">
        <v>6</v>
      </c>
      <c r="AY32" s="15">
        <v>0</v>
      </c>
      <c r="AZ32" s="14"/>
      <c r="BA32" s="51"/>
    </row>
    <row r="33" spans="1:53" ht="15" customHeight="1">
      <c r="A33" s="11"/>
      <c r="B33" s="12" t="s">
        <v>5</v>
      </c>
      <c r="C33" s="13" t="s">
        <v>4</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44" t="s">
        <v>112</v>
      </c>
      <c r="AB33" s="43"/>
      <c r="AC33" s="10"/>
      <c r="AD33" s="12" t="s">
        <v>5</v>
      </c>
      <c r="AE33" s="13" t="s">
        <v>4</v>
      </c>
      <c r="AF33" s="14"/>
      <c r="AG33" s="10"/>
      <c r="AH33" s="12" t="s">
        <v>5</v>
      </c>
      <c r="AI33" s="13" t="s">
        <v>4</v>
      </c>
      <c r="AJ33" s="14"/>
      <c r="AK33" s="10"/>
      <c r="AL33" s="12" t="s">
        <v>5</v>
      </c>
      <c r="AM33" s="13" t="s">
        <v>4</v>
      </c>
      <c r="AN33" s="14"/>
      <c r="AO33" s="10"/>
      <c r="AP33" s="12" t="s">
        <v>5</v>
      </c>
      <c r="AQ33" s="13" t="s">
        <v>4</v>
      </c>
      <c r="AR33" s="14"/>
      <c r="AS33" s="10"/>
      <c r="AT33" s="12" t="s">
        <v>5</v>
      </c>
      <c r="AU33" s="13" t="s">
        <v>4</v>
      </c>
      <c r="AV33" s="14"/>
      <c r="AW33" s="10"/>
      <c r="AX33" s="12" t="s">
        <v>5</v>
      </c>
      <c r="AY33" s="13" t="s">
        <v>4</v>
      </c>
      <c r="AZ33" s="14"/>
      <c r="BA33" s="51"/>
    </row>
    <row r="34" spans="1:53" ht="15" customHeight="1">
      <c r="A34" s="11"/>
      <c r="B34" s="12" t="s">
        <v>11</v>
      </c>
      <c r="C34" s="15" t="s">
        <v>13</v>
      </c>
      <c r="D34" s="43">
        <v>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44" t="s">
        <v>131</v>
      </c>
      <c r="AB34" s="43">
        <v>1999</v>
      </c>
      <c r="AC34" s="10"/>
      <c r="AD34" s="12" t="s">
        <v>11</v>
      </c>
      <c r="AE34" s="15" t="s">
        <v>13</v>
      </c>
      <c r="AF34" s="14">
        <v>0</v>
      </c>
      <c r="AG34" s="10"/>
      <c r="AH34" s="12" t="s">
        <v>11</v>
      </c>
      <c r="AI34" s="15" t="s">
        <v>13</v>
      </c>
      <c r="AJ34" s="14">
        <v>0</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s="51"/>
    </row>
    <row r="35" spans="1:53" ht="15" customHeight="1">
      <c r="A35" s="11"/>
      <c r="B35" s="12" t="s">
        <v>12</v>
      </c>
      <c r="C35" s="15" t="s">
        <v>13</v>
      </c>
      <c r="D35" s="43">
        <v>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4">
        <v>0</v>
      </c>
      <c r="AC35" s="10"/>
      <c r="AD35" s="12" t="s">
        <v>12</v>
      </c>
      <c r="AE35" s="15" t="s">
        <v>13</v>
      </c>
      <c r="AF35" s="16">
        <v>0</v>
      </c>
      <c r="AG35" s="10"/>
      <c r="AH35" s="12" t="s">
        <v>12</v>
      </c>
      <c r="AI35" s="15" t="s">
        <v>13</v>
      </c>
      <c r="AJ35" s="14">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s="51"/>
    </row>
    <row r="36" spans="1:53" ht="15" customHeight="1">
      <c r="A36" s="11"/>
      <c r="B36" s="12" t="s">
        <v>14</v>
      </c>
      <c r="C36" s="15" t="s">
        <v>13</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s="51"/>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s="51"/>
    </row>
    <row r="38" spans="1:53" ht="15" customHeight="1">
      <c r="A38" s="11"/>
      <c r="B38" s="12" t="s">
        <v>7</v>
      </c>
      <c r="C38" s="44">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44">
        <v>48000</v>
      </c>
      <c r="AB38" s="43"/>
      <c r="AC38" s="10"/>
      <c r="AD38" s="12" t="s">
        <v>7</v>
      </c>
      <c r="AE38" s="13">
        <v>0</v>
      </c>
      <c r="AF38" s="14"/>
      <c r="AG38" s="10"/>
      <c r="AH38" s="12" t="s">
        <v>7</v>
      </c>
      <c r="AI38" s="13">
        <v>0</v>
      </c>
      <c r="AJ38" s="14"/>
      <c r="AK38" s="10"/>
      <c r="AL38" s="12" t="s">
        <v>7</v>
      </c>
      <c r="AM38" s="13">
        <v>0</v>
      </c>
      <c r="AN38" s="14"/>
      <c r="AO38" s="10"/>
      <c r="AP38" s="12" t="s">
        <v>7</v>
      </c>
      <c r="AQ38" s="13">
        <v>0</v>
      </c>
      <c r="AR38" s="14"/>
      <c r="AS38" s="10"/>
      <c r="AT38" s="12" t="s">
        <v>7</v>
      </c>
      <c r="AU38" s="13">
        <v>0</v>
      </c>
      <c r="AV38" s="14"/>
      <c r="AW38" s="10"/>
      <c r="AX38" s="12" t="s">
        <v>7</v>
      </c>
      <c r="AY38" s="13">
        <v>0</v>
      </c>
      <c r="AZ38" s="14"/>
      <c r="BA38" s="51"/>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44">
        <v>0</v>
      </c>
      <c r="AB39" s="43"/>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s="51"/>
    </row>
    <row r="40" spans="1:53"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44" t="s">
        <v>33</v>
      </c>
      <c r="AB40" s="43"/>
      <c r="AC40" s="10"/>
      <c r="AD40" s="12" t="s">
        <v>5</v>
      </c>
      <c r="AE40" s="13" t="s">
        <v>4</v>
      </c>
      <c r="AF40" s="14"/>
      <c r="AG40" s="10"/>
      <c r="AH40" s="12" t="s">
        <v>5</v>
      </c>
      <c r="AI40" s="13" t="s">
        <v>4</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s="51"/>
    </row>
    <row r="41" spans="1:53" ht="15" customHeight="1">
      <c r="A41" s="11"/>
      <c r="B41" s="12" t="s">
        <v>11</v>
      </c>
      <c r="C41" s="15" t="s">
        <v>13</v>
      </c>
      <c r="D41" s="43">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44" t="s">
        <v>131</v>
      </c>
      <c r="AB41" s="43">
        <v>1999</v>
      </c>
      <c r="AC41" s="10"/>
      <c r="AD41" s="12" t="s">
        <v>11</v>
      </c>
      <c r="AE41" s="15" t="s">
        <v>13</v>
      </c>
      <c r="AF41" s="14">
        <v>0</v>
      </c>
      <c r="AG41" s="10"/>
      <c r="AH41" s="12" t="s">
        <v>11</v>
      </c>
      <c r="AI41" s="15" t="s">
        <v>13</v>
      </c>
      <c r="AJ41" s="14">
        <v>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s="51"/>
    </row>
    <row r="42" spans="1:53" ht="15" customHeight="1">
      <c r="A42" s="11"/>
      <c r="B42" s="12" t="s">
        <v>12</v>
      </c>
      <c r="C42" s="15" t="s">
        <v>13</v>
      </c>
      <c r="D42" s="43">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4">
        <v>0</v>
      </c>
      <c r="AC42" s="10"/>
      <c r="AD42" s="12" t="s">
        <v>12</v>
      </c>
      <c r="AE42" s="15" t="s">
        <v>13</v>
      </c>
      <c r="AF42" s="16">
        <v>0</v>
      </c>
      <c r="AG42" s="10"/>
      <c r="AH42" s="12" t="s">
        <v>12</v>
      </c>
      <c r="AI42" s="15" t="s">
        <v>13</v>
      </c>
      <c r="AJ42" s="14">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s="51"/>
    </row>
    <row r="43" spans="1:53" ht="15" customHeight="1">
      <c r="A43" s="11"/>
      <c r="B43" s="12" t="s">
        <v>14</v>
      </c>
      <c r="C43" s="15" t="s">
        <v>13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s="51"/>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s="51"/>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13">
        <v>0</v>
      </c>
      <c r="AJ45" s="14"/>
      <c r="AK45" s="10"/>
      <c r="AL45" s="12" t="s">
        <v>7</v>
      </c>
      <c r="AM45" s="13">
        <v>0</v>
      </c>
      <c r="AN45" s="14"/>
      <c r="AO45" s="10"/>
      <c r="AP45" s="12" t="s">
        <v>7</v>
      </c>
      <c r="AQ45" s="13">
        <v>0</v>
      </c>
      <c r="AR45" s="14"/>
      <c r="AS45" s="10"/>
      <c r="AT45" s="12" t="s">
        <v>7</v>
      </c>
      <c r="AU45" s="13">
        <v>0</v>
      </c>
      <c r="AV45" s="14"/>
      <c r="AW45" s="10"/>
      <c r="AX45" s="12" t="s">
        <v>7</v>
      </c>
      <c r="AY45" s="13">
        <v>0</v>
      </c>
      <c r="AZ45" s="14"/>
      <c r="BA45" s="51"/>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s="51"/>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13" t="s">
        <v>4</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s="51"/>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15" t="s">
        <v>13</v>
      </c>
      <c r="AJ48" s="14">
        <v>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s="51"/>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4">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s="51"/>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s="51"/>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s="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13">
        <v>0</v>
      </c>
      <c r="AJ52" s="14"/>
      <c r="AK52" s="10"/>
      <c r="AL52" s="12" t="s">
        <v>7</v>
      </c>
      <c r="AM52" s="13">
        <v>0</v>
      </c>
      <c r="AN52" s="14"/>
      <c r="AO52" s="10"/>
      <c r="AP52" s="12" t="s">
        <v>7</v>
      </c>
      <c r="AQ52" s="13">
        <v>0</v>
      </c>
      <c r="AR52" s="14"/>
      <c r="AS52" s="10"/>
      <c r="AT52" s="12" t="s">
        <v>7</v>
      </c>
      <c r="AU52" s="13">
        <v>0</v>
      </c>
      <c r="AV52" s="14"/>
      <c r="AW52" s="10"/>
      <c r="AX52" s="12" t="s">
        <v>7</v>
      </c>
      <c r="AY52" s="13">
        <v>0</v>
      </c>
      <c r="AZ52" s="14"/>
      <c r="BA52" s="51"/>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s="51"/>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13" t="s">
        <v>4</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s="51"/>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15" t="s">
        <v>13</v>
      </c>
      <c r="AJ55" s="14">
        <v>0</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s="51"/>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s="51"/>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s="51"/>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s="51"/>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s="51"/>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s="51"/>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s="5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s="51"/>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s="51"/>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s="51"/>
    </row>
    <row r="65" spans="1:53"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s="51"/>
    </row>
    <row r="66" spans="1:53"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s="51"/>
    </row>
    <row r="67" spans="1:53"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s="51"/>
    </row>
    <row r="68" spans="1:53"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s="51"/>
    </row>
    <row r="69" spans="1:53"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s="51"/>
    </row>
    <row r="70" spans="1:53"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s="51"/>
    </row>
    <row r="71" spans="1:53"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s="51"/>
    </row>
    <row r="72" spans="1:53"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s="51"/>
    </row>
    <row r="73" spans="1:53" ht="15" customHeight="1">
      <c r="A73" s="11"/>
      <c r="B73" s="22" t="s">
        <v>8</v>
      </c>
      <c r="C73" s="23">
        <v>200</v>
      </c>
      <c r="D73" s="24"/>
      <c r="E73" s="25"/>
      <c r="F73" s="22" t="s">
        <v>8</v>
      </c>
      <c r="G73" s="23">
        <v>1000</v>
      </c>
      <c r="H73" s="24"/>
      <c r="I73" s="25"/>
      <c r="J73" s="22" t="s">
        <v>8</v>
      </c>
      <c r="K73" s="23">
        <v>1000</v>
      </c>
      <c r="L73" s="24"/>
      <c r="M73" s="25"/>
      <c r="N73" s="22" t="s">
        <v>8</v>
      </c>
      <c r="O73" s="23">
        <v>2000</v>
      </c>
      <c r="P73" s="24"/>
      <c r="Q73" s="25"/>
      <c r="R73" s="22" t="s">
        <v>8</v>
      </c>
      <c r="S73" s="23">
        <v>0</v>
      </c>
      <c r="T73" s="24"/>
      <c r="U73" s="25"/>
      <c r="V73" s="22" t="s">
        <v>8</v>
      </c>
      <c r="W73" s="23">
        <v>5000</v>
      </c>
      <c r="X73" s="24"/>
      <c r="Y73" s="25"/>
      <c r="Z73" s="22" t="s">
        <v>8</v>
      </c>
      <c r="AA73" s="23">
        <v>1000</v>
      </c>
      <c r="AB73" s="24"/>
      <c r="AC73" s="25"/>
      <c r="AD73" s="22" t="s">
        <v>8</v>
      </c>
      <c r="AE73" s="23">
        <v>1000</v>
      </c>
      <c r="AF73" s="24"/>
      <c r="AG73" s="25"/>
      <c r="AH73" s="22" t="s">
        <v>8</v>
      </c>
      <c r="AI73" s="23">
        <v>1000</v>
      </c>
      <c r="AJ73" s="24"/>
      <c r="AK73" s="25"/>
      <c r="AL73" s="22" t="s">
        <v>8</v>
      </c>
      <c r="AM73" s="23">
        <v>0</v>
      </c>
      <c r="AN73" s="24"/>
      <c r="AO73" s="25"/>
      <c r="AP73" s="22" t="s">
        <v>8</v>
      </c>
      <c r="AQ73" s="23">
        <v>0</v>
      </c>
      <c r="AR73" s="24"/>
      <c r="AS73" s="25"/>
      <c r="AT73" s="22" t="s">
        <v>8</v>
      </c>
      <c r="AU73" s="23">
        <v>0</v>
      </c>
      <c r="AV73" s="24"/>
      <c r="AW73" s="25"/>
      <c r="AX73" s="22" t="s">
        <v>8</v>
      </c>
      <c r="AY73" s="23">
        <v>0</v>
      </c>
      <c r="AZ73" s="24"/>
      <c r="BA73" s="51"/>
    </row>
    <row r="74" spans="1:53"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1</v>
      </c>
      <c r="X74" s="28"/>
      <c r="Y74" s="25"/>
      <c r="Z74" s="26" t="s">
        <v>10</v>
      </c>
      <c r="AA74" s="45">
        <v>1</v>
      </c>
      <c r="AB74" s="28"/>
      <c r="AC74" s="25"/>
      <c r="AD74" s="26" t="s">
        <v>10</v>
      </c>
      <c r="AE74" s="27">
        <v>1</v>
      </c>
      <c r="AF74" s="28"/>
      <c r="AG74" s="25"/>
      <c r="AH74" s="26" t="s">
        <v>10</v>
      </c>
      <c r="AI74" s="45">
        <v>1</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s="51"/>
    </row>
    <row r="75" spans="1:53" s="32" customFormat="1" ht="15.7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21</v>
      </c>
      <c r="AN75" s="28"/>
      <c r="AO75" s="31"/>
      <c r="AP75" s="26" t="s">
        <v>18</v>
      </c>
      <c r="AQ75" s="27" t="s">
        <v>21</v>
      </c>
      <c r="AR75" s="28"/>
      <c r="AS75" s="31"/>
      <c r="AT75" s="26" t="s">
        <v>18</v>
      </c>
      <c r="AU75" s="27" t="s">
        <v>21</v>
      </c>
      <c r="AV75" s="28"/>
      <c r="AW75" s="31"/>
      <c r="AX75" s="26" t="s">
        <v>18</v>
      </c>
      <c r="AY75" s="27" t="s">
        <v>21</v>
      </c>
      <c r="AZ75" s="28"/>
      <c r="BA75" s="51"/>
    </row>
    <row r="76" spans="1:53" s="7" customFormat="1" ht="15.75">
      <c r="A76" s="51"/>
      <c r="B76" s="51"/>
      <c r="C76" s="51"/>
      <c r="D76" s="51"/>
      <c r="E76" s="51"/>
      <c r="F76" s="51"/>
      <c r="G76" s="51"/>
      <c r="H76" s="51"/>
      <c r="I76" s="5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row>
    <row r="77" spans="1:53" s="7" customFormat="1" ht="15.75">
      <c r="A77" s="51"/>
      <c r="B77" s="35" t="s">
        <v>119</v>
      </c>
      <c r="C77" s="36" t="s">
        <v>68</v>
      </c>
      <c r="D77" s="4" t="s">
        <v>36</v>
      </c>
      <c r="E77" s="51"/>
      <c r="F77" s="35" t="s">
        <v>119</v>
      </c>
      <c r="G77" s="36" t="s">
        <v>132</v>
      </c>
      <c r="H77" s="4" t="s">
        <v>36</v>
      </c>
      <c r="I77" s="51"/>
      <c r="J77" s="35" t="s">
        <v>5</v>
      </c>
      <c r="K77" s="47" t="s">
        <v>33</v>
      </c>
      <c r="L77" s="48" t="s">
        <v>36</v>
      </c>
      <c r="M77" s="51"/>
      <c r="N77" s="35" t="s">
        <v>5</v>
      </c>
      <c r="O77" s="36" t="s">
        <v>19</v>
      </c>
      <c r="P77" s="4" t="s">
        <v>37</v>
      </c>
      <c r="Q77" s="51"/>
      <c r="R77" s="35" t="s">
        <v>5</v>
      </c>
      <c r="S77" s="36" t="s">
        <v>51</v>
      </c>
      <c r="T77" s="4" t="s">
        <v>36</v>
      </c>
      <c r="U77" s="51"/>
      <c r="V77" s="35" t="s">
        <v>5</v>
      </c>
      <c r="W77" s="36" t="s">
        <v>52</v>
      </c>
      <c r="X77" s="48" t="s">
        <v>37</v>
      </c>
      <c r="Y77" s="51"/>
      <c r="Z77" s="35" t="s">
        <v>5</v>
      </c>
      <c r="AA77" s="36" t="s">
        <v>53</v>
      </c>
      <c r="AB77" s="48" t="s">
        <v>37</v>
      </c>
      <c r="AC77" s="51"/>
      <c r="AD77" s="35" t="s">
        <v>5</v>
      </c>
      <c r="AE77" s="36" t="s">
        <v>143</v>
      </c>
      <c r="AF77" s="4" t="s">
        <v>37</v>
      </c>
      <c r="AG77" s="51"/>
      <c r="AH77" s="35" t="s">
        <v>5</v>
      </c>
      <c r="AI77" s="36" t="s">
        <v>144</v>
      </c>
      <c r="AJ77" s="4" t="s">
        <v>36</v>
      </c>
      <c r="AK77" s="51"/>
      <c r="AL77" s="35" t="s">
        <v>5</v>
      </c>
      <c r="AM77" s="36" t="s">
        <v>145</v>
      </c>
      <c r="AN77" s="4" t="s">
        <v>37</v>
      </c>
      <c r="AO77" s="51"/>
      <c r="AP77" s="35" t="s">
        <v>5</v>
      </c>
      <c r="AQ77" s="36" t="s">
        <v>145</v>
      </c>
      <c r="AR77" s="4" t="s">
        <v>37</v>
      </c>
      <c r="AS77" s="51"/>
      <c r="AT77" s="35" t="s">
        <v>5</v>
      </c>
      <c r="AU77" s="36" t="s">
        <v>145</v>
      </c>
      <c r="AV77" s="4" t="s">
        <v>37</v>
      </c>
      <c r="AW77" s="51"/>
      <c r="AX77" s="35" t="s">
        <v>5</v>
      </c>
      <c r="AY77" s="47" t="s">
        <v>193</v>
      </c>
      <c r="AZ77" s="48" t="s">
        <v>36</v>
      </c>
      <c r="BA77" s="51"/>
    </row>
    <row r="78" spans="1:53" s="7" customFormat="1" ht="15.75">
      <c r="A78" s="51"/>
      <c r="B78" s="35" t="s">
        <v>38</v>
      </c>
      <c r="C78" s="36" t="s">
        <v>126</v>
      </c>
      <c r="D78" s="38" t="s">
        <v>120</v>
      </c>
      <c r="E78" s="51"/>
      <c r="F78" s="35" t="s">
        <v>38</v>
      </c>
      <c r="G78" s="36" t="s">
        <v>126</v>
      </c>
      <c r="H78" s="38" t="s">
        <v>120</v>
      </c>
      <c r="I78" s="51"/>
      <c r="J78" s="35" t="s">
        <v>38</v>
      </c>
      <c r="K78" s="47" t="s">
        <v>42</v>
      </c>
      <c r="L78" s="47">
        <v>0</v>
      </c>
      <c r="M78" s="51"/>
      <c r="N78" s="35" t="s">
        <v>38</v>
      </c>
      <c r="O78" s="36" t="s">
        <v>43</v>
      </c>
      <c r="P78" s="38">
        <v>15</v>
      </c>
      <c r="Q78" s="51"/>
      <c r="R78" s="35" t="s">
        <v>38</v>
      </c>
      <c r="S78" s="36" t="s">
        <v>62</v>
      </c>
      <c r="T78" s="38" t="s">
        <v>63</v>
      </c>
      <c r="U78" s="51"/>
      <c r="V78" s="35" t="s">
        <v>38</v>
      </c>
      <c r="W78" s="36" t="s">
        <v>62</v>
      </c>
      <c r="X78" s="38" t="s">
        <v>64</v>
      </c>
      <c r="Y78" s="51"/>
      <c r="Z78" s="35" t="s">
        <v>38</v>
      </c>
      <c r="AA78" s="36" t="s">
        <v>62</v>
      </c>
      <c r="AB78" s="38" t="s">
        <v>65</v>
      </c>
      <c r="AC78" s="51"/>
      <c r="AD78" s="35" t="s">
        <v>38</v>
      </c>
      <c r="AE78" s="36" t="s">
        <v>43</v>
      </c>
      <c r="AF78" s="38" t="s">
        <v>146</v>
      </c>
      <c r="AG78" s="51"/>
      <c r="AH78" s="35" t="s">
        <v>38</v>
      </c>
      <c r="AI78" s="36" t="s">
        <v>42</v>
      </c>
      <c r="AJ78" s="36">
        <v>0</v>
      </c>
      <c r="AK78" s="51"/>
      <c r="AL78" s="35" t="s">
        <v>38</v>
      </c>
      <c r="AM78" s="36" t="s">
        <v>147</v>
      </c>
      <c r="AN78" s="36">
        <v>1</v>
      </c>
      <c r="AO78" s="51"/>
      <c r="AP78" s="35" t="s">
        <v>38</v>
      </c>
      <c r="AQ78" s="36" t="s">
        <v>147</v>
      </c>
      <c r="AR78" s="36">
        <v>2</v>
      </c>
      <c r="AS78" s="51"/>
      <c r="AT78" s="35" t="s">
        <v>38</v>
      </c>
      <c r="AU78" s="36" t="s">
        <v>147</v>
      </c>
      <c r="AV78" s="36">
        <v>3</v>
      </c>
      <c r="AW78" s="51"/>
      <c r="AX78" s="35" t="s">
        <v>38</v>
      </c>
      <c r="AY78" s="47" t="s">
        <v>194</v>
      </c>
      <c r="AZ78" s="49" t="s">
        <v>65</v>
      </c>
      <c r="BA78" s="51"/>
    </row>
    <row r="79" spans="1:53" s="7" customFormat="1" ht="15.75">
      <c r="A79" s="51"/>
      <c r="B79" s="35" t="s">
        <v>38</v>
      </c>
      <c r="C79" s="36" t="s">
        <v>125</v>
      </c>
      <c r="D79" s="38" t="s">
        <v>134</v>
      </c>
      <c r="E79" s="51"/>
      <c r="F79" s="35" t="s">
        <v>38</v>
      </c>
      <c r="G79" s="36" t="s">
        <v>125</v>
      </c>
      <c r="H79" s="38" t="s">
        <v>134</v>
      </c>
      <c r="I79" s="51"/>
      <c r="J79" s="35" t="s">
        <v>38</v>
      </c>
      <c r="K79" s="47" t="s">
        <v>39</v>
      </c>
      <c r="L79" s="47">
        <v>2000</v>
      </c>
      <c r="M79" s="51"/>
      <c r="N79" s="35" t="s">
        <v>38</v>
      </c>
      <c r="O79" s="36" t="s">
        <v>44</v>
      </c>
      <c r="P79" s="38" t="s">
        <v>45</v>
      </c>
      <c r="Q79" s="51"/>
      <c r="R79" s="35" t="s">
        <v>38</v>
      </c>
      <c r="S79" s="36" t="s">
        <v>54</v>
      </c>
      <c r="T79" s="49" t="s">
        <v>235</v>
      </c>
      <c r="U79" s="51"/>
      <c r="V79" s="35" t="s">
        <v>38</v>
      </c>
      <c r="W79" s="36" t="s">
        <v>54</v>
      </c>
      <c r="X79" s="38" t="s">
        <v>115</v>
      </c>
      <c r="Y79" s="51"/>
      <c r="Z79" s="35" t="s">
        <v>38</v>
      </c>
      <c r="AA79" s="36" t="s">
        <v>54</v>
      </c>
      <c r="AB79" s="38" t="s">
        <v>118</v>
      </c>
      <c r="AC79" s="51"/>
      <c r="AD79" s="35" t="s">
        <v>38</v>
      </c>
      <c r="AE79" s="36" t="s">
        <v>148</v>
      </c>
      <c r="AF79" s="38" t="s">
        <v>64</v>
      </c>
      <c r="AG79" s="51"/>
      <c r="AH79" s="35" t="s">
        <v>38</v>
      </c>
      <c r="AI79" s="36" t="s">
        <v>149</v>
      </c>
      <c r="AJ79" s="47">
        <v>400</v>
      </c>
      <c r="AK79" s="51"/>
      <c r="AL79" s="35" t="s">
        <v>38</v>
      </c>
      <c r="AM79" s="36" t="s">
        <v>150</v>
      </c>
      <c r="AN79" s="36">
        <v>1200</v>
      </c>
      <c r="AO79" s="51"/>
      <c r="AP79" s="35" t="s">
        <v>38</v>
      </c>
      <c r="AQ79" s="36" t="s">
        <v>150</v>
      </c>
      <c r="AR79" s="36">
        <v>600</v>
      </c>
      <c r="AS79" s="51"/>
      <c r="AT79" s="35" t="s">
        <v>38</v>
      </c>
      <c r="AU79" s="36" t="s">
        <v>150</v>
      </c>
      <c r="AV79" s="36">
        <v>300</v>
      </c>
      <c r="AW79" s="51"/>
      <c r="AX79" s="35" t="s">
        <v>38</v>
      </c>
      <c r="AY79" s="47" t="s">
        <v>195</v>
      </c>
      <c r="AZ79" s="49" t="s">
        <v>249</v>
      </c>
      <c r="BA79" s="51"/>
    </row>
    <row r="80" spans="1:53" s="7" customFormat="1" ht="15.75">
      <c r="A80" s="51"/>
      <c r="B80" s="35" t="s">
        <v>38</v>
      </c>
      <c r="C80" s="36" t="s">
        <v>126</v>
      </c>
      <c r="D80" s="38" t="s">
        <v>121</v>
      </c>
      <c r="E80" s="51"/>
      <c r="F80" s="35" t="s">
        <v>38</v>
      </c>
      <c r="G80" s="36" t="s">
        <v>126</v>
      </c>
      <c r="H80" s="38" t="s">
        <v>121</v>
      </c>
      <c r="I80" s="51"/>
      <c r="J80" s="35" t="s">
        <v>38</v>
      </c>
      <c r="K80" s="47" t="s">
        <v>40</v>
      </c>
      <c r="L80" s="47">
        <v>1000</v>
      </c>
      <c r="M80" s="51"/>
      <c r="N80" s="35" t="s">
        <v>38</v>
      </c>
      <c r="O80" s="36" t="s">
        <v>46</v>
      </c>
      <c r="P80" s="38" t="s">
        <v>47</v>
      </c>
      <c r="Q80" s="51"/>
      <c r="R80" s="35" t="s">
        <v>38</v>
      </c>
      <c r="S80" s="36" t="s">
        <v>67</v>
      </c>
      <c r="T80" s="38" t="s">
        <v>258</v>
      </c>
      <c r="U80" s="51"/>
      <c r="V80" s="35" t="s">
        <v>38</v>
      </c>
      <c r="W80" s="36" t="s">
        <v>67</v>
      </c>
      <c r="X80" s="38" t="s">
        <v>117</v>
      </c>
      <c r="Y80" s="51"/>
      <c r="Z80" s="35" t="s">
        <v>38</v>
      </c>
      <c r="AA80" s="36" t="s">
        <v>67</v>
      </c>
      <c r="AB80" s="38" t="s">
        <v>117</v>
      </c>
      <c r="AC80" s="51"/>
      <c r="AD80" s="35" t="s">
        <v>38</v>
      </c>
      <c r="AE80" s="36" t="s">
        <v>46</v>
      </c>
      <c r="AF80" s="38" t="s">
        <v>142</v>
      </c>
      <c r="AG80" s="51"/>
      <c r="AH80" s="35" t="s">
        <v>38</v>
      </c>
      <c r="AI80" s="36" t="s">
        <v>151</v>
      </c>
      <c r="AJ80" s="47">
        <v>100</v>
      </c>
      <c r="AK80" s="51"/>
      <c r="AL80" s="35" t="s">
        <v>38</v>
      </c>
      <c r="AM80" s="36" t="s">
        <v>152</v>
      </c>
      <c r="AN80" s="36">
        <v>300</v>
      </c>
      <c r="AO80" s="51"/>
      <c r="AP80" s="35" t="s">
        <v>38</v>
      </c>
      <c r="AQ80" s="36" t="s">
        <v>152</v>
      </c>
      <c r="AR80" s="36">
        <v>300</v>
      </c>
      <c r="AS80" s="51"/>
      <c r="AT80" s="35" t="s">
        <v>38</v>
      </c>
      <c r="AU80" s="36" t="s">
        <v>152</v>
      </c>
      <c r="AV80" s="36">
        <v>300</v>
      </c>
      <c r="AW80" s="51"/>
      <c r="AX80" s="35" t="s">
        <v>38</v>
      </c>
      <c r="AY80" s="47" t="s">
        <v>197</v>
      </c>
      <c r="AZ80" s="49" t="s">
        <v>231</v>
      </c>
      <c r="BA80" s="51"/>
    </row>
    <row r="81" spans="1:53" s="7" customFormat="1" ht="15.75">
      <c r="A81" s="51"/>
      <c r="B81" s="35" t="s">
        <v>38</v>
      </c>
      <c r="C81" s="36" t="s">
        <v>125</v>
      </c>
      <c r="D81" s="38" t="s">
        <v>122</v>
      </c>
      <c r="E81" s="51"/>
      <c r="F81" s="35" t="s">
        <v>38</v>
      </c>
      <c r="G81" s="36" t="s">
        <v>125</v>
      </c>
      <c r="H81" s="38" t="s">
        <v>122</v>
      </c>
      <c r="I81" s="51"/>
      <c r="J81" s="35" t="s">
        <v>38</v>
      </c>
      <c r="K81" s="47" t="s">
        <v>41</v>
      </c>
      <c r="L81" s="47">
        <v>500</v>
      </c>
      <c r="M81" s="51"/>
      <c r="N81" s="35" t="s">
        <v>38</v>
      </c>
      <c r="O81" s="36" t="s">
        <v>48</v>
      </c>
      <c r="P81" s="38" t="s">
        <v>49</v>
      </c>
      <c r="Q81" s="51"/>
      <c r="R81" s="35" t="s">
        <v>38</v>
      </c>
      <c r="S81" s="36" t="s">
        <v>66</v>
      </c>
      <c r="T81" s="38" t="s">
        <v>259</v>
      </c>
      <c r="U81" s="51"/>
      <c r="V81" s="35" t="s">
        <v>38</v>
      </c>
      <c r="W81" s="36" t="s">
        <v>66</v>
      </c>
      <c r="X81" s="38" t="s">
        <v>142</v>
      </c>
      <c r="Y81" s="51"/>
      <c r="Z81" s="35" t="s">
        <v>38</v>
      </c>
      <c r="AA81" s="36" t="s">
        <v>66</v>
      </c>
      <c r="AB81" s="38" t="s">
        <v>142</v>
      </c>
      <c r="AC81" s="51"/>
      <c r="AD81" s="35" t="s">
        <v>38</v>
      </c>
      <c r="AE81" s="36" t="s">
        <v>153</v>
      </c>
      <c r="AF81" s="38" t="s">
        <v>64</v>
      </c>
      <c r="AG81" s="51"/>
      <c r="AH81" s="35" t="s">
        <v>38</v>
      </c>
      <c r="AI81" s="36" t="s">
        <v>154</v>
      </c>
      <c r="AJ81" s="47">
        <v>100</v>
      </c>
      <c r="AK81" s="51"/>
      <c r="AL81" s="51"/>
      <c r="AM81" s="51"/>
      <c r="AN81" s="51"/>
      <c r="AO81" s="51"/>
      <c r="AP81" s="51"/>
      <c r="AQ81" s="51"/>
      <c r="AR81" s="51"/>
      <c r="AS81" s="51"/>
      <c r="AT81" s="51"/>
      <c r="AU81" s="51"/>
      <c r="AV81" s="51"/>
      <c r="AW81" s="51"/>
      <c r="AX81" s="35" t="s">
        <v>38</v>
      </c>
      <c r="AY81" s="47" t="s">
        <v>198</v>
      </c>
      <c r="AZ81" s="49" t="s">
        <v>236</v>
      </c>
      <c r="BA81" s="51"/>
    </row>
    <row r="82" spans="1:53" s="7" customFormat="1" ht="15.75">
      <c r="A82" s="51"/>
      <c r="B82" s="35" t="s">
        <v>38</v>
      </c>
      <c r="C82" s="36" t="s">
        <v>126</v>
      </c>
      <c r="D82" s="38" t="s">
        <v>123</v>
      </c>
      <c r="E82" s="51"/>
      <c r="F82" s="35" t="s">
        <v>38</v>
      </c>
      <c r="G82" s="36" t="s">
        <v>126</v>
      </c>
      <c r="H82" s="38" t="s">
        <v>123</v>
      </c>
      <c r="I82" s="51"/>
      <c r="J82" s="51"/>
      <c r="K82" s="51"/>
      <c r="L82" s="51"/>
      <c r="M82" s="51"/>
      <c r="N82" s="35" t="s">
        <v>38</v>
      </c>
      <c r="O82" s="36" t="s">
        <v>50</v>
      </c>
      <c r="P82" s="38" t="s">
        <v>47</v>
      </c>
      <c r="Q82" s="51"/>
      <c r="R82" s="35" t="s">
        <v>38</v>
      </c>
      <c r="S82" s="36" t="s">
        <v>57</v>
      </c>
      <c r="T82" s="38" t="s">
        <v>227</v>
      </c>
      <c r="U82" s="51"/>
      <c r="V82" s="35" t="s">
        <v>38</v>
      </c>
      <c r="W82" s="36" t="s">
        <v>57</v>
      </c>
      <c r="X82" s="38" t="s">
        <v>58</v>
      </c>
      <c r="Y82" s="51"/>
      <c r="Z82" s="35" t="s">
        <v>38</v>
      </c>
      <c r="AA82" s="36" t="s">
        <v>57</v>
      </c>
      <c r="AB82" s="38" t="s">
        <v>58</v>
      </c>
      <c r="AC82" s="51"/>
      <c r="AD82" s="35" t="s">
        <v>38</v>
      </c>
      <c r="AE82" s="36" t="s">
        <v>50</v>
      </c>
      <c r="AF82" s="38" t="s">
        <v>136</v>
      </c>
      <c r="AG82" s="51"/>
      <c r="AH82" s="35" t="s">
        <v>38</v>
      </c>
      <c r="AI82" s="36" t="s">
        <v>155</v>
      </c>
      <c r="AJ82" s="47">
        <v>200</v>
      </c>
      <c r="AK82" s="51"/>
      <c r="AL82" s="51"/>
      <c r="AM82" s="51"/>
      <c r="AN82" s="51"/>
      <c r="AO82" s="51"/>
      <c r="AP82" s="51"/>
      <c r="AQ82" s="51"/>
      <c r="AR82" s="51"/>
      <c r="AS82" s="51"/>
      <c r="AT82" s="51"/>
      <c r="AU82" s="51"/>
      <c r="AV82" s="51"/>
      <c r="AW82" s="51"/>
      <c r="AX82" s="35" t="s">
        <v>38</v>
      </c>
      <c r="AY82" s="47" t="s">
        <v>237</v>
      </c>
      <c r="AZ82" s="49" t="s">
        <v>238</v>
      </c>
      <c r="BA82" s="51"/>
    </row>
    <row r="83" spans="1:53" s="7" customFormat="1" ht="15.75">
      <c r="A83" s="51"/>
      <c r="B83" s="35" t="s">
        <v>38</v>
      </c>
      <c r="C83" s="36" t="s">
        <v>125</v>
      </c>
      <c r="D83" s="38" t="s">
        <v>135</v>
      </c>
      <c r="E83" s="51"/>
      <c r="F83" s="35" t="s">
        <v>38</v>
      </c>
      <c r="G83" s="36" t="s">
        <v>125</v>
      </c>
      <c r="H83" s="38" t="s">
        <v>135</v>
      </c>
      <c r="I83" s="51"/>
      <c r="J83" s="51"/>
      <c r="K83" s="51"/>
      <c r="L83" s="51"/>
      <c r="M83" s="51"/>
      <c r="N83" s="51"/>
      <c r="O83" s="51"/>
      <c r="P83" s="51"/>
      <c r="Q83" s="51"/>
      <c r="R83" s="35" t="s">
        <v>38</v>
      </c>
      <c r="S83" s="36" t="s">
        <v>55</v>
      </c>
      <c r="T83" s="49" t="s">
        <v>141</v>
      </c>
      <c r="U83" s="51"/>
      <c r="V83" s="35" t="s">
        <v>38</v>
      </c>
      <c r="W83" s="36" t="s">
        <v>55</v>
      </c>
      <c r="X83" s="38" t="s">
        <v>239</v>
      </c>
      <c r="Y83" s="51"/>
      <c r="Z83" s="35" t="s">
        <v>38</v>
      </c>
      <c r="AA83" s="36" t="s">
        <v>55</v>
      </c>
      <c r="AB83" s="38" t="s">
        <v>239</v>
      </c>
      <c r="AC83" s="51"/>
      <c r="AD83" s="35" t="s">
        <v>38</v>
      </c>
      <c r="AE83" s="36" t="s">
        <v>156</v>
      </c>
      <c r="AF83" s="38" t="s">
        <v>64</v>
      </c>
      <c r="AG83" s="51"/>
      <c r="AH83" s="35" t="s">
        <v>38</v>
      </c>
      <c r="AI83" s="36" t="s">
        <v>157</v>
      </c>
      <c r="AJ83" s="47">
        <v>100</v>
      </c>
      <c r="AK83" s="51"/>
      <c r="AL83" s="51"/>
      <c r="AM83" s="51"/>
      <c r="AN83" s="51"/>
      <c r="AO83" s="51"/>
      <c r="AP83" s="51"/>
      <c r="AQ83" s="51"/>
      <c r="AR83" s="51"/>
      <c r="AS83" s="51"/>
      <c r="AT83" s="51"/>
      <c r="AU83" s="51"/>
      <c r="AV83" s="51"/>
      <c r="AW83" s="51"/>
      <c r="AX83" s="35" t="s">
        <v>38</v>
      </c>
      <c r="AY83" s="47" t="s">
        <v>199</v>
      </c>
      <c r="AZ83" s="49" t="s">
        <v>240</v>
      </c>
      <c r="BA83" s="51"/>
    </row>
    <row r="84" spans="1:53" s="7" customFormat="1" ht="15.75">
      <c r="A84" s="51"/>
      <c r="B84" s="35" t="s">
        <v>38</v>
      </c>
      <c r="C84" s="36" t="s">
        <v>126</v>
      </c>
      <c r="D84" s="38" t="s">
        <v>124</v>
      </c>
      <c r="E84" s="51"/>
      <c r="F84" s="35" t="s">
        <v>38</v>
      </c>
      <c r="G84" s="36" t="s">
        <v>126</v>
      </c>
      <c r="H84" s="38" t="s">
        <v>124</v>
      </c>
      <c r="I84" s="51"/>
      <c r="J84" s="51"/>
      <c r="K84" s="51"/>
      <c r="L84" s="51"/>
      <c r="M84" s="51"/>
      <c r="N84" s="51"/>
      <c r="O84" s="51"/>
      <c r="P84" s="51"/>
      <c r="Q84" s="51"/>
      <c r="R84" s="35" t="s">
        <v>38</v>
      </c>
      <c r="S84" s="36" t="s">
        <v>56</v>
      </c>
      <c r="T84" s="49" t="s">
        <v>137</v>
      </c>
      <c r="U84" s="51"/>
      <c r="V84" s="35" t="s">
        <v>38</v>
      </c>
      <c r="W84" s="36" t="s">
        <v>56</v>
      </c>
      <c r="X84" s="38" t="s">
        <v>241</v>
      </c>
      <c r="Y84" s="51"/>
      <c r="Z84" s="35" t="s">
        <v>38</v>
      </c>
      <c r="AA84" s="36" t="s">
        <v>56</v>
      </c>
      <c r="AB84" s="38" t="s">
        <v>241</v>
      </c>
      <c r="AC84" s="51"/>
      <c r="AD84" s="35" t="s">
        <v>38</v>
      </c>
      <c r="AE84" s="36" t="s">
        <v>158</v>
      </c>
      <c r="AF84" s="38" t="s">
        <v>159</v>
      </c>
      <c r="AG84" s="51"/>
      <c r="AH84" s="35" t="s">
        <v>38</v>
      </c>
      <c r="AI84" s="36" t="s">
        <v>160</v>
      </c>
      <c r="AJ84" s="47">
        <v>800</v>
      </c>
      <c r="AK84" s="51"/>
      <c r="AL84" s="51"/>
      <c r="AM84" s="51"/>
      <c r="AN84" s="51"/>
      <c r="AO84" s="51"/>
      <c r="AP84" s="51"/>
      <c r="AQ84" s="51"/>
      <c r="AR84" s="51"/>
      <c r="AS84" s="51"/>
      <c r="AT84" s="51"/>
      <c r="AU84" s="51"/>
      <c r="AV84" s="51"/>
      <c r="AW84" s="51"/>
      <c r="AX84" s="35" t="s">
        <v>38</v>
      </c>
      <c r="AY84" s="47" t="s">
        <v>200</v>
      </c>
      <c r="AZ84" s="49" t="s">
        <v>242</v>
      </c>
      <c r="BA84" s="51"/>
    </row>
    <row r="85" spans="1:53" s="7" customFormat="1" ht="15.75">
      <c r="A85" s="51"/>
      <c r="B85" s="35" t="s">
        <v>38</v>
      </c>
      <c r="C85" s="36" t="s">
        <v>125</v>
      </c>
      <c r="D85" s="38" t="s">
        <v>136</v>
      </c>
      <c r="E85" s="51"/>
      <c r="F85" s="35" t="s">
        <v>38</v>
      </c>
      <c r="G85" s="36" t="s">
        <v>125</v>
      </c>
      <c r="H85" s="38" t="s">
        <v>136</v>
      </c>
      <c r="I85" s="51"/>
      <c r="J85" s="51"/>
      <c r="K85" s="51"/>
      <c r="L85" s="51"/>
      <c r="M85" s="51"/>
      <c r="N85" s="51"/>
      <c r="O85" s="51"/>
      <c r="P85" s="51"/>
      <c r="Q85" s="51"/>
      <c r="R85" s="35" t="s">
        <v>38</v>
      </c>
      <c r="S85" s="36" t="s">
        <v>59</v>
      </c>
      <c r="T85" s="49" t="s">
        <v>243</v>
      </c>
      <c r="U85" s="51"/>
      <c r="V85" s="35" t="s">
        <v>38</v>
      </c>
      <c r="W85" s="36" t="s">
        <v>59</v>
      </c>
      <c r="X85" s="38" t="s">
        <v>141</v>
      </c>
      <c r="Y85" s="51"/>
      <c r="Z85" s="35" t="s">
        <v>38</v>
      </c>
      <c r="AA85" s="36" t="s">
        <v>59</v>
      </c>
      <c r="AB85" s="38" t="s">
        <v>141</v>
      </c>
      <c r="AC85" s="51"/>
      <c r="AD85" s="51"/>
      <c r="AE85" s="51"/>
      <c r="AF85" s="51"/>
      <c r="AG85" s="51"/>
      <c r="AH85" s="35" t="s">
        <v>38</v>
      </c>
      <c r="AI85" s="36" t="s">
        <v>255</v>
      </c>
      <c r="AJ85" s="47">
        <v>100</v>
      </c>
      <c r="AK85" s="51"/>
      <c r="AL85" s="51"/>
      <c r="AM85" s="51"/>
      <c r="AN85" s="51"/>
      <c r="AO85" s="51"/>
      <c r="AP85" s="51"/>
      <c r="AQ85" s="51"/>
      <c r="AR85" s="51"/>
      <c r="AS85" s="51"/>
      <c r="AT85" s="51"/>
      <c r="AU85" s="51"/>
      <c r="AV85" s="51"/>
      <c r="AW85" s="51"/>
      <c r="AX85" s="35" t="s">
        <v>38</v>
      </c>
      <c r="AY85" s="47" t="s">
        <v>201</v>
      </c>
      <c r="AZ85" s="52">
        <f>ROUND(AZ80+AZ86*AZ82/1000, 0)</f>
        <v>355000</v>
      </c>
      <c r="BA85" s="51"/>
    </row>
    <row r="86" spans="1:53" s="7" customFormat="1" ht="15.75">
      <c r="A86" s="51"/>
      <c r="B86" s="41" t="s">
        <v>38</v>
      </c>
      <c r="C86" s="42" t="s">
        <v>127</v>
      </c>
      <c r="D86" s="38" t="s">
        <v>63</v>
      </c>
      <c r="E86" s="51"/>
      <c r="F86" s="41" t="s">
        <v>38</v>
      </c>
      <c r="G86" s="42" t="s">
        <v>127</v>
      </c>
      <c r="H86" s="38" t="s">
        <v>64</v>
      </c>
      <c r="I86" s="51"/>
      <c r="J86" s="51"/>
      <c r="K86" s="51"/>
      <c r="L86" s="51"/>
      <c r="M86" s="51"/>
      <c r="N86" s="51"/>
      <c r="O86" s="51"/>
      <c r="P86" s="51"/>
      <c r="Q86" s="51"/>
      <c r="R86" s="35" t="s">
        <v>38</v>
      </c>
      <c r="S86" s="36" t="s">
        <v>60</v>
      </c>
      <c r="T86" s="49" t="s">
        <v>241</v>
      </c>
      <c r="U86" s="51"/>
      <c r="V86" s="35" t="s">
        <v>38</v>
      </c>
      <c r="W86" s="36" t="s">
        <v>60</v>
      </c>
      <c r="X86" s="38" t="s">
        <v>138</v>
      </c>
      <c r="Y86" s="51"/>
      <c r="Z86" s="35" t="s">
        <v>38</v>
      </c>
      <c r="AA86" s="36" t="s">
        <v>60</v>
      </c>
      <c r="AB86" s="38" t="s">
        <v>138</v>
      </c>
      <c r="AC86" s="51"/>
      <c r="AD86" s="51"/>
      <c r="AE86" s="51"/>
      <c r="AF86" s="51"/>
      <c r="AG86" s="51"/>
      <c r="AH86" s="35" t="s">
        <v>38</v>
      </c>
      <c r="AI86" s="36" t="s">
        <v>256</v>
      </c>
      <c r="AJ86" s="47">
        <v>25500</v>
      </c>
      <c r="AK86" s="51"/>
      <c r="AL86" s="51"/>
      <c r="AM86" s="51"/>
      <c r="AN86" s="51"/>
      <c r="AO86" s="51"/>
      <c r="AP86" s="51"/>
      <c r="AQ86" s="51"/>
      <c r="AR86" s="51"/>
      <c r="AS86" s="51"/>
      <c r="AT86" s="51"/>
      <c r="AU86" s="51"/>
      <c r="AV86" s="51"/>
      <c r="AW86" s="51"/>
      <c r="AX86" s="41" t="s">
        <v>38</v>
      </c>
      <c r="AY86" s="53" t="s">
        <v>202</v>
      </c>
      <c r="AZ86" s="52">
        <f>ROUND((AZ79-AZ80)*1000/(AZ82-AZ81),0)</f>
        <v>6000</v>
      </c>
      <c r="BA86" s="51"/>
    </row>
    <row r="87" spans="1:53" s="7" customFormat="1" ht="15.75">
      <c r="A87" s="51"/>
      <c r="B87" s="51"/>
      <c r="C87" s="51"/>
      <c r="D87" s="51"/>
      <c r="E87" s="51"/>
      <c r="F87" s="51"/>
      <c r="G87" s="51"/>
      <c r="H87" s="51"/>
      <c r="I87" s="51"/>
      <c r="J87" s="51"/>
      <c r="K87" s="51"/>
      <c r="L87" s="51"/>
      <c r="M87" s="51"/>
      <c r="N87" s="51"/>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35" t="s">
        <v>38</v>
      </c>
      <c r="AY87" s="47" t="s">
        <v>203</v>
      </c>
      <c r="AZ87" s="52">
        <f>ROUND(AZ84+AZ88*AZ82/1000,0)</f>
        <v>285016</v>
      </c>
      <c r="BA87" s="51"/>
    </row>
    <row r="88" spans="1:53" s="7" customFormat="1" ht="15.75">
      <c r="A88" s="51"/>
      <c r="B88" s="51"/>
      <c r="C88" s="51"/>
      <c r="D88" s="51"/>
      <c r="E88" s="51"/>
      <c r="F88" s="51"/>
      <c r="G88" s="51"/>
      <c r="H88" s="51"/>
      <c r="I88" s="51"/>
      <c r="J88" s="51"/>
      <c r="K88" s="51"/>
      <c r="L88" s="51"/>
      <c r="M88" s="51"/>
      <c r="N88" s="51"/>
      <c r="O88" s="51"/>
      <c r="P88" s="51"/>
      <c r="Q88" s="51"/>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41" t="s">
        <v>38</v>
      </c>
      <c r="AY88" s="53" t="s">
        <v>204</v>
      </c>
      <c r="AZ88" s="52">
        <f>ROUND((AZ83-AZ84)*1000/(AZ82-AZ81),0)</f>
        <v>4667</v>
      </c>
    </row>
    <row r="89" spans="1:53" s="7" customFormat="1" ht="15.75">
      <c r="A89" s="51"/>
      <c r="B89" s="51"/>
      <c r="C89" s="51"/>
      <c r="D89" s="51"/>
      <c r="E89" s="51"/>
      <c r="F89" s="51"/>
      <c r="G89" s="51"/>
      <c r="H89" s="51"/>
      <c r="I89" s="51"/>
      <c r="J89" s="51"/>
      <c r="K89" s="51"/>
      <c r="L89" s="51"/>
      <c r="M89" s="51"/>
      <c r="N89" s="51"/>
      <c r="O89" s="51"/>
      <c r="P89" s="51"/>
      <c r="Q89" s="51"/>
      <c r="U89" s="51"/>
      <c r="V89" s="51"/>
      <c r="W89" s="51"/>
      <c r="X89" s="51"/>
      <c r="Y89" s="51"/>
      <c r="Z89" s="51"/>
      <c r="AA89" s="51"/>
      <c r="AB89" s="51"/>
      <c r="AC89" s="51"/>
      <c r="AD89" s="51"/>
      <c r="AE89" s="51"/>
      <c r="AF89" s="51"/>
      <c r="AG89" s="51"/>
      <c r="AH89" s="51"/>
      <c r="AI89" s="51"/>
      <c r="AJ89" s="51"/>
      <c r="AK89" s="51"/>
      <c r="AL89" s="51"/>
      <c r="AM89" s="51"/>
      <c r="AN89" s="51"/>
      <c r="AO89" s="51"/>
      <c r="AP89" s="51"/>
      <c r="AQ89" s="51"/>
      <c r="AR89" s="51"/>
      <c r="AS89" s="51"/>
      <c r="AT89" s="51"/>
      <c r="AU89" s="51"/>
      <c r="AV89" s="51"/>
      <c r="AW89" s="51"/>
      <c r="AX89" s="35" t="s">
        <v>38</v>
      </c>
      <c r="AY89" s="36" t="s">
        <v>226</v>
      </c>
      <c r="AZ89" s="49" t="s">
        <v>270</v>
      </c>
    </row>
    <row r="90" spans="1:53" s="7" customFormat="1" ht="15.75">
      <c r="A90" s="51"/>
      <c r="B90" s="51"/>
      <c r="C90" s="51"/>
      <c r="D90" s="51"/>
      <c r="E90" s="51"/>
      <c r="F90" s="51"/>
      <c r="G90" s="51"/>
      <c r="H90" s="51"/>
      <c r="I90" s="51"/>
      <c r="J90" s="51"/>
      <c r="K90" s="51"/>
      <c r="L90" s="51"/>
      <c r="M90" s="51"/>
      <c r="N90" s="51"/>
      <c r="O90" s="51"/>
      <c r="P90" s="51"/>
      <c r="Q90" s="51"/>
      <c r="U90" s="51"/>
      <c r="V90" s="51"/>
      <c r="W90" s="51"/>
      <c r="X90" s="51"/>
      <c r="Y90" s="51"/>
      <c r="Z90" s="51"/>
      <c r="AA90" s="51"/>
      <c r="AB90" s="51"/>
      <c r="AC90" s="51"/>
      <c r="AD90" s="51"/>
      <c r="AE90" s="51"/>
      <c r="AF90" s="51"/>
      <c r="AG90" s="51"/>
      <c r="AH90" s="51"/>
      <c r="AI90" s="51"/>
      <c r="AJ90" s="51"/>
      <c r="AK90" s="51"/>
      <c r="AL90" s="51"/>
      <c r="AM90" s="51"/>
      <c r="AN90" s="51"/>
      <c r="AO90" s="51"/>
      <c r="AP90" s="51"/>
      <c r="AQ90" s="51"/>
      <c r="AR90" s="51"/>
      <c r="AS90" s="51"/>
      <c r="AT90" s="51"/>
      <c r="AU90" s="51"/>
      <c r="AV90" s="51"/>
      <c r="AW90" s="51"/>
      <c r="AX90" s="35" t="s">
        <v>38</v>
      </c>
      <c r="AY90" s="36" t="s">
        <v>228</v>
      </c>
      <c r="AZ90" s="49" t="s">
        <v>270</v>
      </c>
    </row>
    <row r="91" spans="1:53" s="7" customFormat="1" ht="15.75">
      <c r="A91" s="51"/>
      <c r="B91" s="51"/>
      <c r="C91" s="51"/>
      <c r="D91" s="51"/>
      <c r="E91" s="51"/>
      <c r="F91" s="51"/>
      <c r="G91" s="51"/>
      <c r="H91" s="51"/>
      <c r="I91" s="51"/>
      <c r="J91" s="51"/>
      <c r="K91" s="51"/>
      <c r="L91" s="51"/>
      <c r="M91" s="51"/>
      <c r="N91" s="51"/>
      <c r="O91" s="51"/>
      <c r="P91" s="51"/>
      <c r="Q91" s="51"/>
      <c r="U91" s="51"/>
      <c r="V91" s="51"/>
      <c r="W91" s="51"/>
      <c r="X91" s="51"/>
      <c r="Y91" s="51"/>
      <c r="Z91" s="51"/>
      <c r="AA91" s="51"/>
      <c r="AB91" s="51"/>
      <c r="AC91" s="51"/>
      <c r="AD91" s="51"/>
      <c r="AE91" s="51"/>
      <c r="AF91" s="51"/>
      <c r="AG91" s="51"/>
      <c r="AH91" s="51"/>
      <c r="AI91" s="51"/>
      <c r="AJ91" s="51"/>
      <c r="AK91" s="51"/>
      <c r="AL91" s="51"/>
      <c r="AM91" s="51"/>
      <c r="AN91" s="51"/>
      <c r="AO91" s="51"/>
      <c r="AP91" s="51"/>
      <c r="AQ91" s="51"/>
      <c r="AR91" s="51"/>
      <c r="AS91" s="51"/>
      <c r="AT91" s="51"/>
      <c r="AU91" s="51"/>
      <c r="AV91" s="51"/>
      <c r="AW91" s="51"/>
      <c r="AX91" s="35" t="s">
        <v>38</v>
      </c>
      <c r="AY91" s="36" t="s">
        <v>229</v>
      </c>
      <c r="AZ91" s="49" t="s">
        <v>230</v>
      </c>
    </row>
    <row r="92" spans="1:53" s="7" customFormat="1" ht="15.75">
      <c r="A92" s="51"/>
      <c r="B92" s="51"/>
      <c r="C92" s="51"/>
      <c r="D92" s="51"/>
      <c r="E92" s="51"/>
      <c r="F92" s="51"/>
      <c r="G92" s="51"/>
      <c r="H92" s="51"/>
      <c r="I92" s="51"/>
      <c r="J92" s="51"/>
      <c r="K92" s="51"/>
      <c r="L92" s="51"/>
      <c r="M92" s="51"/>
      <c r="N92" s="51"/>
      <c r="O92" s="51"/>
      <c r="P92" s="51"/>
      <c r="Q92" s="51"/>
      <c r="U92" s="51"/>
      <c r="V92" s="51"/>
      <c r="W92" s="51"/>
      <c r="X92" s="51"/>
      <c r="Y92" s="51"/>
      <c r="Z92" s="51"/>
      <c r="AA92" s="51"/>
      <c r="AB92" s="51"/>
      <c r="AC92" s="51"/>
      <c r="AD92" s="51"/>
      <c r="AE92" s="51"/>
      <c r="AF92" s="51"/>
      <c r="AG92" s="51"/>
      <c r="AH92" s="51"/>
      <c r="AI92" s="51"/>
      <c r="AJ92" s="51"/>
      <c r="AK92" s="51"/>
      <c r="AL92" s="51"/>
      <c r="AM92" s="51"/>
      <c r="AN92" s="51"/>
      <c r="AO92" s="51"/>
      <c r="AP92" s="51"/>
      <c r="AQ92" s="51"/>
      <c r="AR92" s="51"/>
      <c r="AS92" s="51"/>
      <c r="AT92" s="51"/>
      <c r="AU92" s="51"/>
      <c r="AV92" s="51"/>
      <c r="AW92" s="51"/>
      <c r="AX92" s="51"/>
    </row>
    <row r="93" spans="1:53" s="7" customFormat="1" ht="15.75">
      <c r="A93" s="51"/>
      <c r="B93" s="51"/>
      <c r="C93" s="51"/>
      <c r="D93" s="51"/>
      <c r="E93" s="51"/>
      <c r="F93" s="51"/>
      <c r="G93" s="51"/>
      <c r="H93" s="51"/>
      <c r="I93" s="51"/>
      <c r="J93" s="51"/>
      <c r="K93" s="51"/>
      <c r="L93" s="51"/>
      <c r="M93" s="51"/>
      <c r="N93" s="51"/>
      <c r="O93" s="51"/>
      <c r="P93" s="51"/>
      <c r="Q93" s="51"/>
      <c r="U93" s="51"/>
      <c r="V93" s="51"/>
      <c r="W93" s="51"/>
      <c r="X93" s="51"/>
      <c r="Y93" s="51"/>
      <c r="Z93" s="51"/>
      <c r="AA93" s="51"/>
      <c r="AB93" s="51"/>
      <c r="AC93" s="51"/>
      <c r="AD93" s="51"/>
      <c r="AE93" s="51"/>
      <c r="AF93" s="51"/>
      <c r="AG93" s="51"/>
      <c r="AH93" s="51"/>
      <c r="AI93" s="51"/>
      <c r="AJ93" s="51"/>
      <c r="AK93" s="51"/>
      <c r="AL93" s="51"/>
      <c r="AM93" s="51"/>
      <c r="AN93" s="51"/>
      <c r="AO93" s="51"/>
      <c r="AP93" s="51"/>
      <c r="AQ93" s="51"/>
      <c r="AR93" s="51"/>
      <c r="AS93" s="51"/>
      <c r="AT93" s="51"/>
      <c r="AU93" s="51"/>
      <c r="AV93" s="51"/>
      <c r="AW93" s="51"/>
      <c r="AX93" s="51"/>
    </row>
    <row r="94" spans="1:53" s="7" customFormat="1" ht="15.75">
      <c r="A94" s="51"/>
      <c r="B94" s="51"/>
      <c r="C94" s="51"/>
      <c r="D94" s="51"/>
      <c r="E94" s="51"/>
      <c r="F94" s="51"/>
      <c r="G94" s="51"/>
      <c r="H94" s="51"/>
      <c r="I94" s="51"/>
      <c r="J94" s="51"/>
      <c r="K94" s="51"/>
      <c r="L94" s="51"/>
      <c r="M94" s="51"/>
      <c r="N94" s="51"/>
      <c r="O94" s="51"/>
      <c r="P94" s="51"/>
      <c r="Q94" s="51"/>
      <c r="U94" s="51"/>
      <c r="V94" s="51"/>
      <c r="W94" s="51"/>
      <c r="X94" s="51"/>
      <c r="Y94" s="51"/>
      <c r="Z94" s="51"/>
      <c r="AA94" s="51"/>
      <c r="AB94" s="51"/>
      <c r="AC94" s="51"/>
      <c r="AD94" s="51"/>
      <c r="AE94" s="51"/>
      <c r="AF94" s="51"/>
      <c r="AG94" s="51"/>
      <c r="AH94" s="51"/>
      <c r="AI94" s="51"/>
      <c r="AJ94" s="51"/>
      <c r="AK94" s="51"/>
      <c r="AL94" s="51"/>
      <c r="AM94" s="51"/>
      <c r="AN94" s="51"/>
      <c r="AO94" s="51"/>
      <c r="AP94" s="51"/>
      <c r="AQ94" s="51"/>
      <c r="AR94" s="51"/>
      <c r="AS94" s="51"/>
      <c r="AT94" s="51"/>
      <c r="AU94" s="51"/>
      <c r="AV94" s="51"/>
      <c r="AW94" s="51"/>
      <c r="AX94" s="51"/>
    </row>
    <row r="95" spans="1:53" ht="15.75">
      <c r="A95" s="51"/>
      <c r="B95" s="51"/>
      <c r="C95" s="51"/>
      <c r="D95" s="51"/>
      <c r="E95" s="51"/>
      <c r="F95" s="51"/>
      <c r="G95" s="51"/>
      <c r="H95" s="51"/>
      <c r="I95" s="51"/>
      <c r="J95" s="51"/>
      <c r="K95" s="51"/>
      <c r="L95" s="51"/>
      <c r="M95" s="51"/>
      <c r="N95" s="51"/>
      <c r="O95" s="51"/>
      <c r="P95" s="51"/>
      <c r="Q95" s="51"/>
      <c r="U95" s="51"/>
      <c r="V95" s="51"/>
      <c r="W95" s="51"/>
      <c r="X95" s="51"/>
      <c r="Y95" s="51"/>
      <c r="Z95" s="51"/>
      <c r="AA95" s="51"/>
      <c r="AB95" s="51"/>
      <c r="AC95" s="51"/>
      <c r="AD95" s="51"/>
      <c r="AE95" s="51"/>
      <c r="AF95" s="51"/>
      <c r="AG95" s="51"/>
      <c r="AH95" s="51"/>
      <c r="AI95" s="51"/>
      <c r="AJ95" s="51"/>
      <c r="AK95" s="51"/>
      <c r="AL95" s="51"/>
      <c r="AM95" s="51"/>
      <c r="AN95" s="51"/>
      <c r="AO95" s="51"/>
      <c r="AP95" s="51"/>
      <c r="AQ95" s="51"/>
      <c r="AR95" s="51"/>
      <c r="AS95" s="51"/>
      <c r="AT95" s="51"/>
      <c r="AU95" s="51"/>
      <c r="AV95" s="51"/>
      <c r="AW95" s="51"/>
      <c r="AX95" s="51"/>
      <c r="AY95" s="1"/>
      <c r="AZ95" s="1"/>
      <c r="BA95" s="1"/>
    </row>
    <row r="96" spans="1:53" ht="15.75">
      <c r="A96" s="51"/>
      <c r="B96" s="51"/>
      <c r="C96" s="51"/>
      <c r="D96" s="51"/>
      <c r="E96" s="51"/>
      <c r="F96" s="51"/>
      <c r="G96" s="51"/>
      <c r="H96" s="51"/>
      <c r="I96" s="51"/>
      <c r="J96" s="51"/>
      <c r="K96" s="51"/>
      <c r="L96" s="51"/>
      <c r="M96" s="51"/>
      <c r="N96" s="51"/>
      <c r="O96" s="51"/>
      <c r="P96" s="51"/>
      <c r="Q96" s="51"/>
      <c r="U96" s="51"/>
      <c r="V96" s="51"/>
      <c r="W96" s="51"/>
      <c r="X96" s="51"/>
      <c r="Y96" s="51"/>
      <c r="Z96" s="51"/>
      <c r="AA96" s="51"/>
      <c r="AB96" s="51"/>
      <c r="AC96" s="51"/>
      <c r="AD96" s="51"/>
      <c r="AE96" s="51"/>
      <c r="AF96" s="51"/>
      <c r="AG96" s="51"/>
      <c r="AH96" s="51"/>
      <c r="AI96" s="51"/>
      <c r="AJ96" s="51"/>
      <c r="AK96" s="51"/>
      <c r="AL96" s="51"/>
      <c r="AM96" s="51"/>
      <c r="AN96" s="51"/>
      <c r="AO96" s="51"/>
      <c r="AP96" s="51"/>
      <c r="AQ96" s="51"/>
      <c r="AR96" s="51"/>
      <c r="AS96" s="51"/>
      <c r="AT96" s="51"/>
      <c r="AU96" s="51"/>
      <c r="AV96" s="51"/>
      <c r="AW96" s="51"/>
      <c r="AX96" s="51"/>
      <c r="AY96" s="1"/>
      <c r="AZ96" s="1"/>
      <c r="BA96" s="1"/>
    </row>
    <row r="97" spans="1:53" ht="15.75">
      <c r="A97" s="51"/>
      <c r="B97" s="51"/>
      <c r="C97" s="51"/>
      <c r="D97" s="51"/>
      <c r="E97" s="51"/>
      <c r="F97" s="51"/>
      <c r="G97" s="51"/>
      <c r="H97" s="51"/>
      <c r="I97" s="51"/>
      <c r="J97" s="51"/>
      <c r="K97" s="51"/>
      <c r="L97" s="51"/>
      <c r="M97" s="51"/>
      <c r="N97" s="51"/>
      <c r="O97" s="51"/>
      <c r="P97" s="51"/>
      <c r="Q97" s="51"/>
      <c r="U97" s="51"/>
      <c r="V97" s="51"/>
      <c r="W97" s="51"/>
      <c r="X97" s="51"/>
      <c r="Y97" s="51"/>
      <c r="Z97" s="51"/>
      <c r="AA97" s="51"/>
      <c r="AB97" s="51"/>
      <c r="AC97" s="51"/>
      <c r="AD97" s="51"/>
      <c r="AE97" s="51"/>
      <c r="AF97" s="51"/>
      <c r="AG97" s="51"/>
      <c r="AH97" s="51"/>
      <c r="AI97" s="51"/>
      <c r="AJ97" s="51"/>
      <c r="AK97" s="51"/>
      <c r="AL97" s="51"/>
      <c r="AM97" s="51"/>
      <c r="AN97" s="51"/>
      <c r="AO97" s="51"/>
      <c r="AP97" s="51"/>
      <c r="AQ97" s="51"/>
      <c r="AR97" s="51"/>
      <c r="AS97" s="51"/>
      <c r="AT97" s="51"/>
      <c r="AU97" s="51"/>
      <c r="AV97" s="51"/>
      <c r="AW97" s="51"/>
      <c r="AX97" s="51"/>
      <c r="AY97" s="1"/>
      <c r="AZ97" s="1"/>
      <c r="BA97" s="1"/>
    </row>
    <row r="98" spans="1:53" ht="15.75">
      <c r="A98" s="51"/>
      <c r="B98" s="51"/>
      <c r="C98" s="51"/>
      <c r="D98" s="51"/>
      <c r="E98" s="51"/>
      <c r="F98" s="51"/>
      <c r="G98" s="51"/>
      <c r="H98" s="51"/>
      <c r="I98" s="51"/>
      <c r="J98" s="51"/>
      <c r="K98" s="51"/>
      <c r="L98" s="51"/>
      <c r="M98" s="51"/>
      <c r="N98" s="51"/>
      <c r="O98" s="51"/>
      <c r="P98" s="51"/>
      <c r="Q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c r="AT98" s="51"/>
      <c r="AU98" s="51"/>
      <c r="AV98" s="51"/>
      <c r="AW98" s="51"/>
      <c r="AX98" s="51"/>
      <c r="AY98" s="1"/>
      <c r="AZ98" s="1"/>
      <c r="BA98" s="1"/>
    </row>
    <row r="99" spans="1:53" ht="15.75">
      <c r="A99" s="51"/>
      <c r="B99" s="51"/>
      <c r="C99" s="51"/>
      <c r="D99" s="51"/>
      <c r="E99" s="51"/>
      <c r="F99" s="51"/>
      <c r="G99" s="51"/>
      <c r="H99" s="51"/>
      <c r="I99" s="51"/>
      <c r="J99" s="51"/>
      <c r="K99" s="51"/>
      <c r="L99" s="51"/>
      <c r="M99" s="51"/>
      <c r="N99" s="51"/>
      <c r="O99" s="51"/>
      <c r="P99" s="51"/>
      <c r="Q99" s="51"/>
      <c r="U99" s="51"/>
      <c r="V99" s="51"/>
      <c r="W99" s="51"/>
      <c r="X99" s="51"/>
      <c r="Y99" s="51"/>
      <c r="Z99" s="51"/>
      <c r="AA99" s="51"/>
      <c r="AB99" s="51"/>
      <c r="AC99" s="51"/>
      <c r="AD99" s="51"/>
      <c r="AE99" s="51"/>
      <c r="AF99" s="51"/>
      <c r="AG99" s="51"/>
      <c r="AH99" s="51"/>
      <c r="AI99" s="51"/>
      <c r="AJ99" s="51"/>
      <c r="AK99" s="51"/>
      <c r="AL99" s="51"/>
      <c r="AM99" s="51"/>
      <c r="AN99" s="51"/>
      <c r="AO99" s="51"/>
      <c r="AP99" s="51"/>
      <c r="AQ99" s="51"/>
      <c r="AR99" s="51"/>
      <c r="AS99" s="51"/>
      <c r="AT99" s="51"/>
      <c r="AU99" s="51"/>
      <c r="AV99" s="51"/>
      <c r="AW99" s="51"/>
      <c r="AX99" s="51"/>
      <c r="AY99" s="1"/>
      <c r="AZ99" s="1"/>
      <c r="BA99" s="1"/>
    </row>
    <row r="100" spans="1:53" ht="15.75">
      <c r="A100" s="51"/>
      <c r="B100" s="51"/>
      <c r="C100" s="51"/>
      <c r="D100" s="51"/>
      <c r="E100" s="51"/>
      <c r="F100" s="51"/>
      <c r="G100" s="51"/>
      <c r="H100" s="51"/>
      <c r="I100" s="51"/>
      <c r="J100" s="51"/>
      <c r="K100" s="51"/>
      <c r="L100" s="51"/>
      <c r="M100" s="51"/>
      <c r="N100" s="51"/>
      <c r="O100" s="51"/>
      <c r="P100" s="51"/>
      <c r="Q100" s="51"/>
      <c r="U100" s="51"/>
      <c r="V100" s="51"/>
      <c r="W100" s="51"/>
      <c r="X100" s="51"/>
      <c r="Y100" s="51"/>
      <c r="Z100" s="51"/>
      <c r="AA100" s="51"/>
      <c r="AB100" s="51"/>
      <c r="AC100" s="51"/>
      <c r="AD100" s="51"/>
      <c r="AE100" s="51"/>
      <c r="AF100" s="51"/>
      <c r="AG100" s="51"/>
      <c r="AH100" s="51"/>
      <c r="AI100" s="51"/>
      <c r="AJ100" s="51"/>
      <c r="AK100" s="51"/>
      <c r="AL100" s="51"/>
      <c r="AM100" s="51"/>
      <c r="AN100" s="51"/>
      <c r="AO100" s="51"/>
      <c r="AP100" s="51"/>
      <c r="AQ100" s="51"/>
      <c r="AR100" s="51"/>
      <c r="AS100" s="51"/>
      <c r="AT100" s="51"/>
      <c r="AU100" s="51"/>
      <c r="AV100" s="51"/>
      <c r="AW100" s="51"/>
      <c r="AX100" s="51"/>
      <c r="AY100" s="51"/>
      <c r="AZ100" s="51"/>
      <c r="BA100" s="51"/>
    </row>
    <row r="101" spans="1:53" ht="15.75">
      <c r="A101" s="51"/>
      <c r="B101" s="51"/>
      <c r="C101" s="51"/>
      <c r="D101" s="51"/>
      <c r="E101" s="51"/>
      <c r="F101" s="51"/>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c r="AT101" s="51"/>
      <c r="AU101" s="51"/>
      <c r="AV101" s="51"/>
      <c r="AW101" s="51"/>
      <c r="AX101" s="51"/>
      <c r="AY101" s="51"/>
      <c r="AZ101" s="51"/>
      <c r="BA101" s="51"/>
    </row>
    <row r="102" spans="1:53" ht="15.75">
      <c r="A102" s="51"/>
      <c r="B102" s="51"/>
      <c r="C102" s="51"/>
      <c r="D102" s="51"/>
      <c r="E102" s="51"/>
      <c r="F102" s="51"/>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c r="AT102" s="51"/>
      <c r="AU102" s="51"/>
      <c r="AV102" s="51"/>
      <c r="AW102" s="51"/>
      <c r="AX102" s="51"/>
      <c r="AY102" s="51"/>
      <c r="AZ102" s="51"/>
      <c r="BA102" s="51"/>
    </row>
    <row r="103" spans="1:53" ht="15.75">
      <c r="A103" s="51"/>
      <c r="B103" s="51"/>
      <c r="C103" s="51"/>
      <c r="D103" s="51"/>
      <c r="E103" s="51"/>
      <c r="F103" s="51"/>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c r="AJ103" s="51"/>
      <c r="AK103" s="51"/>
      <c r="AL103" s="51"/>
      <c r="AM103" s="51"/>
      <c r="AN103" s="51"/>
      <c r="AO103" s="51"/>
      <c r="AP103" s="51"/>
      <c r="AQ103" s="51"/>
      <c r="AR103" s="51"/>
      <c r="AS103" s="51"/>
      <c r="AT103" s="51"/>
      <c r="AU103" s="51"/>
      <c r="AV103" s="51"/>
      <c r="AW103" s="51"/>
      <c r="AX103" s="51"/>
      <c r="AY103" s="51"/>
      <c r="AZ103" s="51"/>
      <c r="BA103" s="51"/>
    </row>
    <row r="104" spans="1:53" ht="15.75">
      <c r="A104" s="51"/>
      <c r="B104" s="51"/>
      <c r="C104" s="51"/>
      <c r="D104" s="51"/>
      <c r="E104" s="51"/>
      <c r="F104" s="51"/>
      <c r="G104" s="51"/>
      <c r="H104" s="51"/>
      <c r="I104" s="51"/>
      <c r="J104" s="51"/>
      <c r="K104" s="51"/>
      <c r="L104" s="51"/>
      <c r="M104" s="51"/>
      <c r="N104" s="51"/>
      <c r="O104" s="51"/>
      <c r="P104" s="51"/>
      <c r="Q104" s="51"/>
      <c r="R104" s="51"/>
      <c r="S104" s="51"/>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c r="AT104" s="51"/>
      <c r="AU104" s="51"/>
      <c r="AV104" s="51"/>
      <c r="AW104" s="51"/>
      <c r="AX104" s="51"/>
      <c r="AY104" s="51"/>
      <c r="AZ104" s="51"/>
      <c r="BA104" s="51"/>
    </row>
    <row r="105" spans="1:53" ht="15.75">
      <c r="A105" s="51"/>
      <c r="B105" s="51"/>
      <c r="C105" s="51"/>
      <c r="D105" s="51"/>
      <c r="E105" s="51"/>
      <c r="F105" s="51"/>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c r="AD105" s="51"/>
      <c r="AE105" s="51"/>
      <c r="AF105" s="51"/>
      <c r="AG105" s="51"/>
      <c r="AH105" s="51"/>
      <c r="AI105" s="51"/>
      <c r="AJ105" s="51"/>
      <c r="AK105" s="51"/>
      <c r="AL105" s="51"/>
      <c r="AM105" s="51"/>
      <c r="AN105" s="51"/>
      <c r="AO105" s="51"/>
      <c r="AP105" s="51"/>
      <c r="AQ105" s="51"/>
      <c r="AR105" s="51"/>
      <c r="AS105" s="51"/>
      <c r="AT105" s="51"/>
      <c r="AU105" s="51"/>
      <c r="AV105" s="51"/>
      <c r="AW105" s="51"/>
      <c r="AX105" s="51"/>
      <c r="AY105" s="51"/>
      <c r="AZ105" s="51"/>
      <c r="BA105" s="51"/>
    </row>
    <row r="106" spans="1:53" ht="15.75">
      <c r="A106" s="51"/>
      <c r="B106" s="51"/>
      <c r="C106" s="51"/>
      <c r="D106" s="51"/>
      <c r="E106" s="51"/>
      <c r="F106" s="51"/>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c r="AV106" s="51"/>
      <c r="AW106" s="51"/>
      <c r="AX106" s="51"/>
      <c r="AY106" s="51"/>
      <c r="AZ106" s="51"/>
      <c r="BA106" s="51"/>
    </row>
    <row r="107" spans="1:53" ht="15.75">
      <c r="A107" s="51"/>
      <c r="B107" s="51"/>
      <c r="C107" s="51"/>
      <c r="D107" s="51"/>
      <c r="E107" s="51"/>
      <c r="F107" s="51"/>
      <c r="G107" s="51"/>
      <c r="H107" s="51"/>
      <c r="I107" s="5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c r="AV107" s="51"/>
      <c r="AW107" s="51"/>
      <c r="AX107" s="51"/>
      <c r="AY107" s="51"/>
      <c r="AZ107" s="51"/>
      <c r="BA107" s="51"/>
    </row>
    <row r="108" spans="1:53" ht="15.75">
      <c r="A108" s="51"/>
      <c r="B108" s="51"/>
      <c r="C108" s="51"/>
      <c r="D108" s="51"/>
      <c r="E108" s="51"/>
      <c r="F108" s="51"/>
      <c r="G108" s="51"/>
      <c r="H108" s="51"/>
      <c r="I108" s="5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c r="AV108" s="51"/>
      <c r="AW108" s="51"/>
      <c r="AX108" s="51"/>
      <c r="AY108" s="51"/>
      <c r="AZ108" s="51"/>
      <c r="BA108" s="51"/>
    </row>
    <row r="109" spans="1:53" ht="15.75">
      <c r="A109" s="51"/>
      <c r="B109" s="51"/>
      <c r="C109" s="51"/>
      <c r="D109" s="51"/>
      <c r="E109" s="51"/>
      <c r="F109" s="51"/>
      <c r="G109" s="51"/>
      <c r="H109" s="51"/>
      <c r="I109" s="5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c r="AV109" s="51"/>
      <c r="AW109" s="51"/>
      <c r="AX109" s="51"/>
      <c r="AY109" s="51"/>
      <c r="AZ109" s="51"/>
      <c r="BA109" s="51"/>
    </row>
    <row r="110" spans="1:53" ht="15.75">
      <c r="A110" s="51"/>
      <c r="B110" s="51"/>
      <c r="C110" s="51"/>
      <c r="D110" s="51"/>
      <c r="E110" s="51"/>
      <c r="F110" s="51"/>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c r="AV110" s="51"/>
      <c r="AW110" s="51"/>
      <c r="AX110" s="51"/>
      <c r="AY110" s="51"/>
      <c r="AZ110" s="51"/>
      <c r="BA110" s="51"/>
    </row>
    <row r="111" spans="1:53" ht="15.75">
      <c r="A111" s="51"/>
      <c r="B111" s="51"/>
      <c r="C111" s="51"/>
      <c r="D111" s="51"/>
      <c r="E111" s="51"/>
      <c r="F111" s="51"/>
      <c r="G111" s="51"/>
      <c r="H111" s="51"/>
      <c r="I111" s="5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c r="AV111" s="51"/>
      <c r="AW111" s="51"/>
      <c r="AX111" s="51"/>
      <c r="AY111" s="51"/>
      <c r="AZ111" s="51"/>
      <c r="BA111" s="51"/>
    </row>
    <row r="112" spans="1:53" ht="15.75">
      <c r="A112" s="51"/>
      <c r="B112" s="51"/>
      <c r="C112" s="51"/>
      <c r="D112" s="51"/>
      <c r="E112" s="51"/>
      <c r="F112" s="51"/>
      <c r="G112" s="51"/>
      <c r="H112" s="51"/>
      <c r="I112" s="5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c r="AV112" s="51"/>
      <c r="AW112" s="51"/>
      <c r="AX112" s="51"/>
      <c r="AY112" s="51"/>
      <c r="AZ112" s="51"/>
      <c r="BA112" s="51"/>
    </row>
    <row r="113" spans="1:53" ht="15.75">
      <c r="A113" s="51"/>
      <c r="B113" s="51"/>
      <c r="C113" s="51"/>
      <c r="D113" s="51"/>
      <c r="E113" s="51"/>
      <c r="F113" s="51"/>
      <c r="G113" s="51"/>
      <c r="H113" s="51"/>
      <c r="I113" s="5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c r="AV113" s="51"/>
      <c r="AW113" s="51"/>
      <c r="AX113" s="51"/>
      <c r="AY113" s="51"/>
      <c r="AZ113" s="51"/>
      <c r="BA113" s="51"/>
    </row>
    <row r="114" spans="1:53" ht="15.75">
      <c r="A114" s="51"/>
      <c r="B114" s="51"/>
      <c r="C114" s="51"/>
      <c r="D114" s="51"/>
      <c r="E114" s="51"/>
      <c r="F114" s="51"/>
      <c r="G114" s="51"/>
      <c r="H114" s="51"/>
      <c r="I114" s="5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c r="AV114" s="51"/>
      <c r="AW114" s="51"/>
      <c r="AX114" s="51"/>
      <c r="AY114" s="51"/>
      <c r="AZ114" s="51"/>
      <c r="BA114" s="51"/>
    </row>
    <row r="115" spans="1:53" ht="15.75">
      <c r="A115" s="51"/>
      <c r="B115" s="51"/>
      <c r="C115" s="51"/>
      <c r="D115" s="51"/>
      <c r="E115" s="51"/>
      <c r="F115" s="51"/>
      <c r="G115" s="51"/>
      <c r="H115" s="51"/>
      <c r="I115" s="5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c r="AV115" s="51"/>
      <c r="AW115" s="51"/>
      <c r="AX115" s="51"/>
      <c r="AY115" s="51"/>
      <c r="AZ115" s="51"/>
      <c r="BA115" s="51"/>
    </row>
    <row r="116" spans="1:53" ht="15.75">
      <c r="A116" s="51"/>
      <c r="B116" s="51"/>
      <c r="C116" s="51"/>
      <c r="D116" s="51"/>
      <c r="E116" s="51"/>
      <c r="F116" s="51"/>
      <c r="G116" s="51"/>
      <c r="H116" s="51"/>
      <c r="I116" s="51"/>
      <c r="J116" s="51"/>
      <c r="K116" s="51"/>
      <c r="L116" s="51"/>
      <c r="M116" s="51"/>
      <c r="N116" s="51"/>
      <c r="O116" s="51"/>
      <c r="P116" s="51"/>
      <c r="Q116" s="51"/>
      <c r="R116" s="51"/>
      <c r="S116" s="51"/>
      <c r="T116" s="51"/>
      <c r="U116" s="51"/>
      <c r="V116" s="51"/>
      <c r="W116" s="51"/>
      <c r="X116" s="51"/>
      <c r="Y116" s="51"/>
      <c r="Z116" s="51"/>
      <c r="AA116" s="51"/>
      <c r="AB116" s="51"/>
      <c r="AC116" s="51"/>
      <c r="AD116" s="51"/>
      <c r="AE116" s="51"/>
      <c r="AF116" s="51"/>
      <c r="AG116" s="51"/>
      <c r="AH116" s="51"/>
      <c r="AI116" s="51"/>
      <c r="AJ116" s="51"/>
      <c r="AK116" s="51"/>
      <c r="AL116" s="51"/>
      <c r="AM116" s="51"/>
      <c r="AN116" s="51"/>
      <c r="AO116" s="51"/>
      <c r="AP116" s="51"/>
      <c r="AQ116" s="51"/>
      <c r="AR116" s="51"/>
      <c r="AS116" s="51"/>
      <c r="AT116" s="51"/>
      <c r="AU116" s="51"/>
      <c r="AV116" s="51"/>
      <c r="AW116" s="51"/>
      <c r="AX116" s="51"/>
      <c r="AY116" s="51"/>
      <c r="AZ116" s="51"/>
      <c r="BA116" s="51"/>
    </row>
    <row r="117" spans="1:53" ht="15.75">
      <c r="A117" s="51"/>
      <c r="B117" s="51"/>
      <c r="C117" s="51"/>
      <c r="D117" s="51"/>
      <c r="E117" s="51"/>
      <c r="F117" s="51"/>
      <c r="G117" s="51"/>
      <c r="H117" s="51"/>
      <c r="I117" s="51"/>
      <c r="J117" s="51"/>
      <c r="K117" s="51"/>
      <c r="L117" s="51"/>
      <c r="M117" s="51"/>
      <c r="N117" s="51"/>
      <c r="O117" s="51"/>
      <c r="P117" s="51"/>
      <c r="Q117" s="51"/>
      <c r="R117" s="51"/>
      <c r="S117" s="51"/>
      <c r="T117" s="51"/>
      <c r="U117" s="51"/>
      <c r="V117" s="51"/>
      <c r="W117" s="51"/>
      <c r="X117" s="51"/>
      <c r="Y117" s="51"/>
      <c r="Z117" s="51"/>
      <c r="AA117" s="51"/>
      <c r="AB117" s="51"/>
      <c r="AC117" s="51"/>
      <c r="AD117" s="51"/>
      <c r="AE117" s="51"/>
      <c r="AF117" s="51"/>
      <c r="AG117" s="51"/>
      <c r="AH117" s="51"/>
      <c r="AI117" s="51"/>
      <c r="AJ117" s="51"/>
      <c r="AK117" s="51"/>
      <c r="AL117" s="51"/>
      <c r="AM117" s="51"/>
      <c r="AN117" s="51"/>
      <c r="AO117" s="51"/>
      <c r="AP117" s="51"/>
      <c r="AQ117" s="51"/>
      <c r="AR117" s="51"/>
      <c r="AS117" s="51"/>
      <c r="AT117" s="51"/>
      <c r="AU117" s="51"/>
      <c r="AV117" s="51"/>
      <c r="AW117" s="51"/>
      <c r="AX117" s="51"/>
      <c r="AY117" s="51"/>
      <c r="AZ117" s="51"/>
      <c r="BA117" s="51"/>
    </row>
    <row r="118" spans="1:53" ht="15.75">
      <c r="A118" s="51"/>
      <c r="B118" s="51"/>
      <c r="C118" s="51"/>
      <c r="D118" s="51"/>
      <c r="E118" s="51"/>
      <c r="F118" s="51"/>
      <c r="G118" s="51"/>
      <c r="H118" s="51"/>
      <c r="I118" s="51"/>
      <c r="J118" s="51"/>
      <c r="K118" s="51"/>
      <c r="L118" s="51"/>
      <c r="M118" s="51"/>
      <c r="N118" s="51"/>
      <c r="O118" s="51"/>
      <c r="P118" s="51"/>
      <c r="Q118" s="51"/>
      <c r="R118" s="51"/>
      <c r="S118" s="51"/>
      <c r="T118" s="51"/>
      <c r="U118" s="51"/>
      <c r="V118" s="51"/>
      <c r="W118" s="51"/>
      <c r="X118" s="51"/>
      <c r="Y118" s="51"/>
      <c r="Z118" s="51"/>
      <c r="AA118" s="51"/>
      <c r="AB118" s="51"/>
      <c r="AC118" s="51"/>
      <c r="AD118" s="51"/>
      <c r="AE118" s="51"/>
      <c r="AF118" s="51"/>
      <c r="AG118" s="51"/>
      <c r="AH118" s="51"/>
      <c r="AI118" s="51"/>
      <c r="AJ118" s="51"/>
      <c r="AK118" s="51"/>
      <c r="AL118" s="51"/>
      <c r="AM118" s="51"/>
      <c r="AN118" s="51"/>
      <c r="AO118" s="51"/>
      <c r="AP118" s="51"/>
      <c r="AQ118" s="51"/>
      <c r="AR118" s="51"/>
      <c r="AS118" s="51"/>
      <c r="AT118" s="51"/>
      <c r="AU118" s="51"/>
      <c r="AV118" s="51"/>
      <c r="AW118" s="51"/>
      <c r="AX118" s="51"/>
      <c r="AY118" s="51"/>
      <c r="AZ118" s="51"/>
      <c r="BA118" s="51"/>
    </row>
    <row r="119" spans="1:53" ht="15.75">
      <c r="A119" s="51"/>
      <c r="B119" s="51"/>
      <c r="C119" s="51"/>
      <c r="D119" s="51"/>
      <c r="E119" s="51"/>
      <c r="F119" s="51"/>
      <c r="G119" s="51"/>
      <c r="H119" s="51"/>
      <c r="I119" s="51"/>
      <c r="J119" s="51"/>
      <c r="K119" s="51"/>
      <c r="L119" s="51"/>
      <c r="M119" s="51"/>
      <c r="N119" s="51"/>
      <c r="O119" s="51"/>
      <c r="P119" s="51"/>
      <c r="Q119" s="51"/>
      <c r="R119" s="51"/>
      <c r="S119" s="51"/>
      <c r="T119" s="51"/>
      <c r="U119" s="51"/>
      <c r="V119" s="51"/>
      <c r="W119" s="51"/>
      <c r="X119" s="51"/>
      <c r="Y119" s="51"/>
      <c r="Z119" s="51"/>
      <c r="AA119" s="51"/>
      <c r="AB119" s="51"/>
      <c r="AC119" s="51"/>
      <c r="AD119" s="51"/>
      <c r="AE119" s="51"/>
      <c r="AF119" s="51"/>
      <c r="AG119" s="51"/>
      <c r="AH119" s="51"/>
      <c r="AI119" s="51"/>
      <c r="AJ119" s="51"/>
      <c r="AK119" s="51"/>
      <c r="AL119" s="51"/>
      <c r="AM119" s="51"/>
      <c r="AN119" s="51"/>
      <c r="AO119" s="51"/>
      <c r="AP119" s="51"/>
      <c r="AQ119" s="51"/>
      <c r="AR119" s="51"/>
      <c r="AS119" s="51"/>
      <c r="AT119" s="51"/>
      <c r="AU119" s="51"/>
      <c r="AV119" s="51"/>
      <c r="AW119" s="51"/>
      <c r="AX119" s="51"/>
      <c r="AY119" s="51"/>
      <c r="AZ119" s="51"/>
      <c r="BA119" s="51"/>
    </row>
    <row r="120" spans="1:53" ht="15.75">
      <c r="A120" s="51"/>
      <c r="B120" s="51"/>
      <c r="C120" s="51"/>
      <c r="D120" s="51"/>
      <c r="E120" s="51"/>
      <c r="F120" s="51"/>
      <c r="G120" s="51"/>
      <c r="H120" s="51"/>
      <c r="I120" s="51"/>
      <c r="J120" s="51"/>
      <c r="K120" s="51"/>
      <c r="L120" s="51"/>
      <c r="M120" s="51"/>
      <c r="N120" s="51"/>
      <c r="O120" s="51"/>
      <c r="P120" s="51"/>
      <c r="Q120" s="51"/>
      <c r="R120" s="51"/>
      <c r="S120" s="51"/>
      <c r="T120" s="51"/>
      <c r="U120" s="51"/>
      <c r="V120" s="51"/>
      <c r="W120" s="51"/>
      <c r="X120" s="51"/>
      <c r="Y120" s="51"/>
      <c r="Z120" s="51"/>
      <c r="AA120" s="51"/>
      <c r="AB120" s="51"/>
      <c r="AC120" s="51"/>
      <c r="AD120" s="51"/>
      <c r="AE120" s="51"/>
      <c r="AF120" s="51"/>
      <c r="AG120" s="51"/>
      <c r="AH120" s="51"/>
      <c r="AI120" s="51"/>
      <c r="AJ120" s="51"/>
      <c r="AK120" s="51"/>
      <c r="AL120" s="51"/>
      <c r="AM120" s="51"/>
      <c r="AN120" s="51"/>
      <c r="AO120" s="51"/>
      <c r="AP120" s="51"/>
      <c r="AQ120" s="51"/>
      <c r="AR120" s="51"/>
      <c r="AS120" s="51"/>
      <c r="AT120" s="51"/>
      <c r="AU120" s="51"/>
      <c r="AV120" s="51"/>
      <c r="AW120" s="51"/>
      <c r="AX120" s="51"/>
      <c r="AY120" s="51"/>
      <c r="AZ120" s="51"/>
      <c r="BA120" s="51"/>
    </row>
    <row r="121" spans="1:53" ht="15.75">
      <c r="A121" s="51"/>
      <c r="B121" s="51"/>
      <c r="C121" s="51"/>
      <c r="D121" s="51"/>
      <c r="E121" s="51"/>
      <c r="F121" s="51"/>
      <c r="G121" s="51"/>
      <c r="H121" s="51"/>
      <c r="I121" s="51"/>
      <c r="J121" s="51"/>
      <c r="K121" s="51"/>
      <c r="L121" s="51"/>
      <c r="M121" s="51"/>
      <c r="N121" s="51"/>
      <c r="O121" s="51"/>
      <c r="P121" s="51"/>
      <c r="Q121" s="51"/>
      <c r="R121" s="51"/>
      <c r="S121" s="51"/>
      <c r="T121" s="51"/>
      <c r="U121" s="51"/>
      <c r="V121" s="51"/>
      <c r="W121" s="51"/>
      <c r="X121" s="51"/>
      <c r="Y121" s="51"/>
      <c r="Z121" s="51"/>
      <c r="AA121" s="51"/>
      <c r="AB121" s="51"/>
      <c r="AC121" s="51"/>
      <c r="AD121" s="51"/>
      <c r="AE121" s="51"/>
      <c r="AF121" s="51"/>
      <c r="AG121" s="51"/>
      <c r="AH121" s="51"/>
      <c r="AI121" s="51"/>
      <c r="AJ121" s="51"/>
      <c r="AK121" s="51"/>
      <c r="AL121" s="51"/>
      <c r="AM121" s="51"/>
      <c r="AN121" s="51"/>
      <c r="AO121" s="51"/>
      <c r="AP121" s="51"/>
      <c r="AQ121" s="51"/>
      <c r="AR121" s="51"/>
      <c r="AS121" s="51"/>
      <c r="AT121" s="51"/>
      <c r="AU121" s="51"/>
      <c r="AV121" s="51"/>
      <c r="AW121" s="51"/>
      <c r="AX121" s="51"/>
      <c r="AY121" s="51"/>
      <c r="AZ121" s="51"/>
      <c r="BA121" s="51"/>
    </row>
    <row r="122" spans="1:53" ht="15.75">
      <c r="A122" s="51"/>
      <c r="B122" s="51"/>
      <c r="C122" s="51"/>
      <c r="D122" s="51"/>
      <c r="E122" s="51"/>
      <c r="F122" s="51"/>
      <c r="G122" s="51"/>
      <c r="H122" s="51"/>
      <c r="I122" s="51"/>
      <c r="J122" s="51"/>
      <c r="K122" s="51"/>
      <c r="L122" s="51"/>
      <c r="M122" s="51"/>
      <c r="N122" s="51"/>
      <c r="O122" s="51"/>
      <c r="P122" s="51"/>
      <c r="Q122" s="51"/>
      <c r="R122" s="51"/>
      <c r="S122" s="51"/>
      <c r="T122" s="51"/>
      <c r="U122" s="51"/>
      <c r="V122" s="51"/>
      <c r="W122" s="51"/>
      <c r="X122" s="51"/>
      <c r="Y122" s="51"/>
      <c r="Z122" s="51"/>
      <c r="AA122" s="51"/>
      <c r="AB122" s="51"/>
      <c r="AC122" s="51"/>
      <c r="AD122" s="51"/>
      <c r="AE122" s="51"/>
      <c r="AF122" s="51"/>
      <c r="AG122" s="51"/>
      <c r="AH122" s="51"/>
      <c r="AI122" s="51"/>
      <c r="AJ122" s="51"/>
      <c r="AK122" s="51"/>
      <c r="AL122" s="51"/>
      <c r="AM122" s="51"/>
      <c r="AN122" s="51"/>
      <c r="AO122" s="51"/>
      <c r="AP122" s="51"/>
      <c r="AQ122" s="51"/>
      <c r="AR122" s="51"/>
      <c r="AS122" s="51"/>
      <c r="AT122" s="51"/>
      <c r="AU122" s="51"/>
      <c r="AV122" s="51"/>
      <c r="AW122" s="51"/>
      <c r="AX122" s="51"/>
      <c r="AY122" s="51"/>
      <c r="AZ122" s="51"/>
      <c r="BA122" s="51"/>
    </row>
  </sheetData>
  <phoneticPr fontId="8" type="noConversion"/>
  <dataValidations count="14">
    <dataValidation type="list" allowBlank="1" showInputMessage="1" sqref="C12">
      <formula1>'[4]6755_coolers'!A2:A134</formula1>
    </dataValidation>
    <dataValidation type="list" allowBlank="1" showInputMessage="1" showErrorMessage="1" sqref="C13:C15 AA20:AA22">
      <formula1>"NULL, CPU0 loading(%), Wifi usage(Kb/s), EXIT, mtktscpu, mtktsabb, mtktspmic, mtktsbattery, mtktspa, mtktswmt, mtktsAP, mtktsbuck, mtktsbattery2, mtktsxtal"</formula1>
    </dataValidation>
    <dataValidation type="list" allowBlank="1" showInputMessage="1" sqref="AA5">
      <formula1>'[3]6755_coolers'!A2:A134</formula1>
    </dataValidation>
    <dataValidation type="list" allowBlank="1" showInputMessage="1" sqref="AE5">
      <formula1>'[2]6755_coolers'!A2:A134</formula1>
    </dataValidation>
    <dataValidation type="list" allowBlank="1" showInputMessage="1" showErrorMessage="1" sqref="AE1">
      <formula1>'[2]6755_tz'!A2:A97</formula1>
    </dataValidation>
    <dataValidation type="list" allowBlank="1" showInputMessage="1" showErrorMessage="1" sqref="AI69:AI71 AY20:AY22 AE55:AE57 AE48:AE50 AE41:AE43 AE34:AE36 AE27:AE29 AE20:AE22 AE69:AE71 AE13:AE15 AE62:AE64 AI62:AI64 AU62:AU64 O13:O15 O69:O71 O20:O22 O27:O29 O34:O36 O41:O43 O6:O8 O48:O50 O55:O57 O62:O64 C69:C71 C34:C36 C6:C8 C48:C50 C55:C57 C62:C64 S13:S15 S69:S71 S20:S22 S27:S29 S34:S36 S41:S43 S6:S8 S48:S50 S55:S57 S62:S64 K13:K15 G69:G71 G20:G22 K69:K71 G27:G29 G34:G36 G41:G43 K20:K22 K34:K36 G6:G8 G48:G50 G55:G57 K41:K43 AY6:AY8 G62:G64 K48:K50 K55:K57 K62:K64 W13:W15 W69:W71 W20:W22 W27:W29 W34:W36 W41:W43 W6:W8 W48:W50 W55:W57 W62:W64 C27:C29 AU6:AU8 AM6:AM8 G13:G15 AA55:AA57 AA48:AA50 AA34:AA36 AI13:AI15 C20:C22 AY62:AY64 AA69:AA71 AY69:AY71 AA62:AA64 AQ6:AQ8 AY55:AY57 AY48:AY50 AY41:AY43 AY13:AY15 AI48:AI50 AY34:AY36 C41:C43 AY27:AY29 AE6:AE8 AM55:AM57 AM48:AM50 AM41:AM43 AM34:AM36 AM27:AM29 AM20:AM22 AM69:AM71 AM13:AM15 AM62:AM64 K6:K8 AQ55:AQ57 AQ48:AQ50 AQ41:AQ43 AQ34:AQ36 AQ27:AQ29 AQ20:AQ22 AQ69:AQ71 AQ13:AQ15 AQ62:AQ64 AI41:AI43 AU55:AU57 AU48:AU50 AU41:AU43 AU34:AU36 AU27:AU29 AU20:AU22 AU69:AU71 AU13:AU15 AI6:AI8 AI55:AI57 AI34:AI36 AI27:AI29 AI20:AI22 AA13:AA15 AA41:AA43 AA6:AA8 AA27:AA29 K27:K29">
      <formula1>"NULL, CPU0 loading(%), Wifi usage(Kb/s), &lt; Mobile usage(Kb/s), EXIT, mtktscpu, mtktsabb, mtktspmic, mtktsbattery, mtktspa, mtktswmt, mtktsAP, mtktsbuck, mtktsbattery2, mtktsxtal"</formula1>
    </dataValidation>
    <dataValidation type="list" allowBlank="1" showInputMessage="1" showErrorMessage="1" sqref="T77 D1 H1 T1 X1 P1 L1 X77 AJ1 AN1 AR1 H77 AF1 AZ77 L77 AB77 P77 D77 AV1 AZ1 AV77 AF77 AJ77 AN77 AR77 AB1">
      <formula1>"ENABLE,DISABLE"</formula1>
    </dataValidation>
    <dataValidation type="decimal" allowBlank="1" showInputMessage="1" showErrorMessage="1" errorTitle="Invalid" error="Must be 0 or 1" promptTitle="kernel log" prompt="[1, max step]" sqref="AN78 AR78 AV78">
      <formula1>1</formula1>
      <formula2>5</formula2>
    </dataValidation>
    <dataValidation type="decimal" allowBlank="1" showInputMessage="1" showErrorMessage="1" errorTitle="Invalid" error="Must between [-1, 65535]" promptTitle="Range" prompt="0 or between [100, 25500]" sqref="AN79:AN80 AR79:AR80 AV79:AV80 AJ79:AJ86">
      <formula1>0</formula1>
      <formula2>25500</formula2>
    </dataValidation>
    <dataValidation type="decimal" allowBlank="1" showInputMessage="1" showErrorMessage="1" errorTitle="Invalid" error="Must be 0 or 1" promptTitle="kernel log" prompt="0, off (default)_x000a_1, on" sqref="L78 AJ78">
      <formula1>0</formula1>
      <formula2>1</formula2>
    </dataValidation>
    <dataValidation type="decimal" allowBlank="1" showInputMessage="1" showErrorMessage="1" errorTitle="Invalid" error="Must between [-1, 65535]" promptTitle="Range" prompt="between [-1, 65535]" sqref="L79:L81">
      <formula1>-1</formula1>
      <formula2>65535</formula2>
    </dataValidation>
    <dataValidation type="list" allowBlank="1" showInputMessage="1" showErrorMessage="1" sqref="AU1 C1 G1 AY1 O1 S1 W1 AI1 K1 AM1 AQ1 AA1">
      <formula1>'6755_tz'!A2:A97</formula1>
    </dataValidation>
    <dataValidation type="list" allowBlank="1" showInputMessage="1" sqref="AE61 AE47 AE40 AE33 AE26 AE19 AE12 AE68 AI19 AU5 C5 C33 C47 C54 C61 C68 AU12 G5 G19 G26 G33 G40 G47 G54 G61 G68 AY19 AI47 AY26 K19 K33 K40 K47 K54 K61 K68 O12 O5 O19 O26 O33 O40 O47 O54 O61 O68 S12 S5 S19 S26 S33 S40 S47 S54 S61 S68 W12 W5 W19 W26 W33 W40 W47 W54 W61 W68 C40 AY47 G12 AA68 AA61 AA54 AA47 AI12 C19 AY12 AY68 C26 AY40 AU68 AQ5 AY61 AY54 AA26 AY33 K12 AE54 AY5 AM5 AM61 AM54 AM47 AM40 AM33 AM26 AM19 AM12 AM68 K5 AQ61 AQ54 AQ47 AQ40 AQ33 AQ26 AQ19 AQ12 AQ68 AI40 AU61 AU54 AU47 AU40 AU33 AU26 AU19 AI5 AI61 AI54 AI33 AI26 AI68 AA12 AA33 AA40 K26">
      <formula1>'6755_coolers'!A2:A137</formula1>
    </dataValidation>
    <dataValidation type="list" allowBlank="1" showInputMessage="1" sqref="AA19">
      <formula1>'[1]6735_coolers'!A2:A134</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sheetPr codeName="Sheet88">
    <tabColor rgb="FFFF0000"/>
  </sheetPr>
  <dimension ref="A1:BA122"/>
  <sheetViews>
    <sheetView zoomScale="90" zoomScaleNormal="90" workbookViewId="0">
      <selection activeCell="AA2" sqref="AA2"/>
    </sheetView>
  </sheetViews>
  <sheetFormatPr defaultRowHeight="14.2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9.140625" style="7"/>
    <col min="54" max="16384" width="9.140625" style="1"/>
  </cols>
  <sheetData>
    <row r="1" spans="1:53" ht="57.75" customHeight="1">
      <c r="A1" s="1" t="s">
        <v>182</v>
      </c>
      <c r="B1" s="2" t="s">
        <v>35</v>
      </c>
      <c r="C1" s="3" t="s">
        <v>23</v>
      </c>
      <c r="D1" s="4" t="s">
        <v>36</v>
      </c>
      <c r="E1" s="5"/>
      <c r="F1" s="2" t="s">
        <v>35</v>
      </c>
      <c r="G1" s="3" t="s">
        <v>24</v>
      </c>
      <c r="H1" s="4" t="s">
        <v>36</v>
      </c>
      <c r="I1" s="5"/>
      <c r="J1" s="2" t="s">
        <v>35</v>
      </c>
      <c r="K1" s="3" t="s">
        <v>25</v>
      </c>
      <c r="L1" s="4" t="s">
        <v>36</v>
      </c>
      <c r="M1" s="6"/>
      <c r="N1" s="2" t="s">
        <v>35</v>
      </c>
      <c r="O1" s="3" t="s">
        <v>26</v>
      </c>
      <c r="P1" s="4" t="s">
        <v>36</v>
      </c>
      <c r="Q1" s="6"/>
      <c r="R1" s="2" t="s">
        <v>35</v>
      </c>
      <c r="S1" s="3" t="s">
        <v>34</v>
      </c>
      <c r="T1" s="4" t="s">
        <v>36</v>
      </c>
      <c r="U1" s="6"/>
      <c r="V1" s="2" t="s">
        <v>35</v>
      </c>
      <c r="W1" s="3" t="s">
        <v>27</v>
      </c>
      <c r="X1" s="4" t="s">
        <v>36</v>
      </c>
      <c r="Y1" s="6"/>
      <c r="Z1" s="2" t="s">
        <v>35</v>
      </c>
      <c r="AA1" s="3" t="s">
        <v>68</v>
      </c>
      <c r="AB1" s="4" t="s">
        <v>36</v>
      </c>
      <c r="AC1" s="6"/>
      <c r="AD1" s="2" t="s">
        <v>35</v>
      </c>
      <c r="AE1" s="3" t="s">
        <v>69</v>
      </c>
      <c r="AF1" s="4" t="s">
        <v>36</v>
      </c>
      <c r="AG1" s="6"/>
      <c r="AH1" s="2" t="s">
        <v>35</v>
      </c>
      <c r="AI1" s="3" t="s">
        <v>132</v>
      </c>
      <c r="AJ1" s="4" t="s">
        <v>36</v>
      </c>
      <c r="AK1" s="6"/>
      <c r="AL1" s="2" t="s">
        <v>35</v>
      </c>
      <c r="AM1" s="3" t="s">
        <v>128</v>
      </c>
      <c r="AN1" s="4" t="s">
        <v>36</v>
      </c>
      <c r="AO1" s="6"/>
      <c r="AP1" s="2" t="s">
        <v>35</v>
      </c>
      <c r="AQ1" s="3" t="s">
        <v>233</v>
      </c>
      <c r="AR1" s="4" t="s">
        <v>36</v>
      </c>
      <c r="AS1" s="6"/>
      <c r="AT1" s="2" t="s">
        <v>35</v>
      </c>
      <c r="AU1" s="3" t="s">
        <v>234</v>
      </c>
      <c r="AV1" s="4" t="s">
        <v>36</v>
      </c>
      <c r="AW1" s="6"/>
      <c r="AX1" s="2" t="s">
        <v>35</v>
      </c>
      <c r="AY1" s="3" t="s">
        <v>129</v>
      </c>
      <c r="AZ1" s="4" t="s">
        <v>36</v>
      </c>
      <c r="BA1" s="51"/>
    </row>
    <row r="2" spans="1:53" ht="30.75" customHeight="1">
      <c r="B2" s="2" t="s">
        <v>9</v>
      </c>
      <c r="C2" s="3">
        <v>2</v>
      </c>
      <c r="D2" s="8"/>
      <c r="E2" s="9"/>
      <c r="F2" s="2" t="s">
        <v>9</v>
      </c>
      <c r="G2" s="3">
        <v>1</v>
      </c>
      <c r="H2" s="8"/>
      <c r="I2" s="10"/>
      <c r="J2" s="2" t="s">
        <v>9</v>
      </c>
      <c r="K2" s="3">
        <v>1</v>
      </c>
      <c r="L2" s="8"/>
      <c r="M2" s="10"/>
      <c r="N2" s="2" t="s">
        <v>9</v>
      </c>
      <c r="O2" s="3">
        <v>1</v>
      </c>
      <c r="P2" s="8"/>
      <c r="Q2" s="10"/>
      <c r="R2" s="2" t="s">
        <v>9</v>
      </c>
      <c r="S2" s="3">
        <v>1</v>
      </c>
      <c r="T2" s="8"/>
      <c r="U2" s="10"/>
      <c r="V2" s="2" t="s">
        <v>9</v>
      </c>
      <c r="W2" s="3">
        <v>1</v>
      </c>
      <c r="X2" s="8"/>
      <c r="Y2" s="10"/>
      <c r="Z2" s="2" t="s">
        <v>9</v>
      </c>
      <c r="AA2" s="3">
        <v>3</v>
      </c>
      <c r="AB2" s="8"/>
      <c r="AC2" s="10"/>
      <c r="AD2" s="2" t="s">
        <v>9</v>
      </c>
      <c r="AE2" s="3">
        <v>1</v>
      </c>
      <c r="AF2" s="8"/>
      <c r="AG2" s="10"/>
      <c r="AH2" s="2" t="s">
        <v>9</v>
      </c>
      <c r="AI2" s="3">
        <v>7</v>
      </c>
      <c r="AJ2" s="46"/>
      <c r="AK2" s="10"/>
      <c r="AL2" s="2" t="s">
        <v>9</v>
      </c>
      <c r="AM2" s="3">
        <v>0</v>
      </c>
      <c r="AN2" s="8"/>
      <c r="AO2" s="10"/>
      <c r="AP2" s="2" t="s">
        <v>9</v>
      </c>
      <c r="AQ2" s="3">
        <v>0</v>
      </c>
      <c r="AR2" s="8"/>
      <c r="AS2" s="10"/>
      <c r="AT2" s="2" t="s">
        <v>9</v>
      </c>
      <c r="AU2" s="3">
        <v>0</v>
      </c>
      <c r="AV2" s="8"/>
      <c r="AW2" s="10"/>
      <c r="AX2" s="2" t="s">
        <v>9</v>
      </c>
      <c r="AY2" s="3">
        <v>0</v>
      </c>
      <c r="AZ2" s="8"/>
      <c r="BA2" s="51"/>
    </row>
    <row r="3" spans="1:53" ht="15" customHeight="1">
      <c r="A3" s="11"/>
      <c r="B3" s="12" t="s">
        <v>7</v>
      </c>
      <c r="C3" s="13">
        <v>117000</v>
      </c>
      <c r="D3" s="14"/>
      <c r="E3" s="9"/>
      <c r="F3" s="12" t="s">
        <v>7</v>
      </c>
      <c r="G3" s="13">
        <v>145000</v>
      </c>
      <c r="H3" s="14"/>
      <c r="I3" s="10"/>
      <c r="J3" s="12" t="s">
        <v>7</v>
      </c>
      <c r="K3" s="13">
        <v>60000</v>
      </c>
      <c r="L3" s="14"/>
      <c r="M3" s="10"/>
      <c r="N3" s="12" t="s">
        <v>7</v>
      </c>
      <c r="O3" s="13">
        <v>120000</v>
      </c>
      <c r="P3" s="14"/>
      <c r="Q3" s="10"/>
      <c r="R3" s="12" t="s">
        <v>7</v>
      </c>
      <c r="S3" s="13">
        <v>117000</v>
      </c>
      <c r="T3" s="14"/>
      <c r="U3" s="10"/>
      <c r="V3" s="12" t="s">
        <v>7</v>
      </c>
      <c r="W3" s="13">
        <v>120000</v>
      </c>
      <c r="X3" s="14"/>
      <c r="Y3" s="10"/>
      <c r="Z3" s="12" t="s">
        <v>7</v>
      </c>
      <c r="AA3" s="13">
        <v>100000</v>
      </c>
      <c r="AB3" s="14"/>
      <c r="AC3" s="10"/>
      <c r="AD3" s="12" t="s">
        <v>7</v>
      </c>
      <c r="AE3" s="13">
        <v>120000</v>
      </c>
      <c r="AF3" s="14"/>
      <c r="AG3" s="10"/>
      <c r="AH3" s="12" t="s">
        <v>7</v>
      </c>
      <c r="AI3" s="13">
        <v>120000</v>
      </c>
      <c r="AJ3" s="43"/>
      <c r="AK3" s="10"/>
      <c r="AL3" s="12" t="s">
        <v>7</v>
      </c>
      <c r="AM3" s="13">
        <v>0</v>
      </c>
      <c r="AN3" s="14"/>
      <c r="AO3" s="10"/>
      <c r="AP3" s="12" t="s">
        <v>7</v>
      </c>
      <c r="AQ3" s="13">
        <v>0</v>
      </c>
      <c r="AR3" s="14"/>
      <c r="AS3" s="10"/>
      <c r="AT3" s="12" t="s">
        <v>7</v>
      </c>
      <c r="AU3" s="13">
        <v>0</v>
      </c>
      <c r="AV3" s="14"/>
      <c r="AW3" s="10"/>
      <c r="AX3" s="12" t="s">
        <v>7</v>
      </c>
      <c r="AY3" s="13">
        <v>0</v>
      </c>
      <c r="AZ3" s="14"/>
      <c r="BA3" s="51"/>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15">
        <v>0</v>
      </c>
      <c r="AJ4" s="43"/>
      <c r="AK4" s="10"/>
      <c r="AL4" s="12" t="s">
        <v>6</v>
      </c>
      <c r="AM4" s="15">
        <v>0</v>
      </c>
      <c r="AN4" s="14"/>
      <c r="AO4" s="10"/>
      <c r="AP4" s="12" t="s">
        <v>6</v>
      </c>
      <c r="AQ4" s="15">
        <v>0</v>
      </c>
      <c r="AR4" s="14"/>
      <c r="AS4" s="10"/>
      <c r="AT4" s="12" t="s">
        <v>6</v>
      </c>
      <c r="AU4" s="15">
        <v>0</v>
      </c>
      <c r="AV4" s="14"/>
      <c r="AW4" s="10"/>
      <c r="AX4" s="12" t="s">
        <v>6</v>
      </c>
      <c r="AY4" s="15">
        <v>0</v>
      </c>
      <c r="AZ4" s="14"/>
      <c r="BA4" s="51"/>
    </row>
    <row r="5" spans="1:53" ht="15" customHeight="1">
      <c r="A5" s="11"/>
      <c r="B5" s="12" t="s">
        <v>5</v>
      </c>
      <c r="C5" s="13" t="s">
        <v>15</v>
      </c>
      <c r="D5" s="14"/>
      <c r="E5" s="9"/>
      <c r="F5" s="12" t="s">
        <v>5</v>
      </c>
      <c r="G5" s="13" t="s">
        <v>1</v>
      </c>
      <c r="H5" s="14"/>
      <c r="I5" s="10"/>
      <c r="J5" s="12" t="s">
        <v>5</v>
      </c>
      <c r="K5" s="13" t="s">
        <v>2</v>
      </c>
      <c r="L5" s="14"/>
      <c r="M5" s="10"/>
      <c r="N5" s="12" t="s">
        <v>5</v>
      </c>
      <c r="O5" s="13" t="s">
        <v>3</v>
      </c>
      <c r="P5" s="14"/>
      <c r="Q5" s="10"/>
      <c r="R5" s="12" t="s">
        <v>5</v>
      </c>
      <c r="S5" s="13" t="s">
        <v>0</v>
      </c>
      <c r="T5" s="14"/>
      <c r="U5" s="10"/>
      <c r="V5" s="12" t="s">
        <v>5</v>
      </c>
      <c r="W5" s="13" t="s">
        <v>16</v>
      </c>
      <c r="X5" s="14"/>
      <c r="Y5" s="10"/>
      <c r="Z5" s="12" t="s">
        <v>5</v>
      </c>
      <c r="AA5" s="13" t="s">
        <v>17</v>
      </c>
      <c r="AB5" s="14"/>
      <c r="AC5" s="10"/>
      <c r="AD5" s="12" t="s">
        <v>5</v>
      </c>
      <c r="AE5" s="13" t="s">
        <v>108</v>
      </c>
      <c r="AF5" s="14"/>
      <c r="AG5" s="10"/>
      <c r="AH5" s="12" t="s">
        <v>5</v>
      </c>
      <c r="AI5" s="13" t="s">
        <v>108</v>
      </c>
      <c r="AJ5" s="43"/>
      <c r="AK5" s="10"/>
      <c r="AL5" s="12" t="s">
        <v>5</v>
      </c>
      <c r="AM5" s="13" t="s">
        <v>4</v>
      </c>
      <c r="AN5" s="14"/>
      <c r="AO5" s="10"/>
      <c r="AP5" s="12" t="s">
        <v>5</v>
      </c>
      <c r="AQ5" s="13" t="s">
        <v>4</v>
      </c>
      <c r="AR5" s="14"/>
      <c r="AS5" s="10"/>
      <c r="AT5" s="12" t="s">
        <v>5</v>
      </c>
      <c r="AU5" s="13" t="s">
        <v>4</v>
      </c>
      <c r="AV5" s="14"/>
      <c r="AW5" s="10"/>
      <c r="AX5" s="12" t="s">
        <v>5</v>
      </c>
      <c r="AY5" s="13" t="s">
        <v>4</v>
      </c>
      <c r="AZ5" s="14"/>
      <c r="BA5" s="51"/>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4">
        <v>0</v>
      </c>
      <c r="AG6" s="10"/>
      <c r="AH6" s="12" t="s">
        <v>11</v>
      </c>
      <c r="AI6" s="15" t="s">
        <v>13</v>
      </c>
      <c r="AJ6" s="15">
        <v>0</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s="51"/>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s="51"/>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s="51"/>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s="51"/>
    </row>
    <row r="10" spans="1:53" ht="15" customHeight="1">
      <c r="A10" s="11"/>
      <c r="B10" s="12" t="s">
        <v>7</v>
      </c>
      <c r="C10" s="44">
        <v>68000</v>
      </c>
      <c r="D10" s="14"/>
      <c r="E10" s="10"/>
      <c r="F10" s="12" t="s">
        <v>7</v>
      </c>
      <c r="G10" s="13">
        <v>0</v>
      </c>
      <c r="H10" s="14"/>
      <c r="I10" s="10"/>
      <c r="J10" s="12" t="s">
        <v>7</v>
      </c>
      <c r="K10" s="13">
        <v>0</v>
      </c>
      <c r="L10" s="14"/>
      <c r="M10" s="10"/>
      <c r="N10" s="12" t="s">
        <v>7</v>
      </c>
      <c r="O10" s="13">
        <v>0</v>
      </c>
      <c r="P10" s="14"/>
      <c r="Q10" s="10"/>
      <c r="R10" s="12" t="s">
        <v>7</v>
      </c>
      <c r="S10" s="13">
        <v>0</v>
      </c>
      <c r="T10" s="14"/>
      <c r="U10" s="10"/>
      <c r="V10" s="12" t="s">
        <v>7</v>
      </c>
      <c r="W10" s="13">
        <v>0</v>
      </c>
      <c r="X10" s="14"/>
      <c r="Y10" s="10"/>
      <c r="Z10" s="12" t="s">
        <v>7</v>
      </c>
      <c r="AA10" s="50">
        <v>90000</v>
      </c>
      <c r="AB10" s="14"/>
      <c r="AC10" s="10"/>
      <c r="AD10" s="12" t="s">
        <v>7</v>
      </c>
      <c r="AE10" s="13">
        <v>0</v>
      </c>
      <c r="AF10" s="14"/>
      <c r="AG10" s="10"/>
      <c r="AH10" s="12" t="s">
        <v>7</v>
      </c>
      <c r="AI10" s="44">
        <v>85000</v>
      </c>
      <c r="AJ10" s="14"/>
      <c r="AK10" s="10"/>
      <c r="AL10" s="12" t="s">
        <v>7</v>
      </c>
      <c r="AM10" s="13">
        <v>0</v>
      </c>
      <c r="AN10" s="14"/>
      <c r="AO10" s="10"/>
      <c r="AP10" s="12" t="s">
        <v>7</v>
      </c>
      <c r="AQ10" s="13">
        <v>0</v>
      </c>
      <c r="AR10" s="14"/>
      <c r="AS10" s="10"/>
      <c r="AT10" s="12" t="s">
        <v>7</v>
      </c>
      <c r="AU10" s="13">
        <v>0</v>
      </c>
      <c r="AV10" s="14"/>
      <c r="AW10" s="10"/>
      <c r="AX10" s="12" t="s">
        <v>7</v>
      </c>
      <c r="AY10" s="13">
        <v>0</v>
      </c>
      <c r="AZ10" s="14"/>
      <c r="BA10" s="51"/>
    </row>
    <row r="11" spans="1:53" ht="15" customHeight="1">
      <c r="A11" s="11"/>
      <c r="B11" s="12" t="s">
        <v>6</v>
      </c>
      <c r="C11" s="15">
        <v>0</v>
      </c>
      <c r="D11" s="14"/>
      <c r="E11" s="10"/>
      <c r="F11" s="12" t="s">
        <v>6</v>
      </c>
      <c r="G11" s="15">
        <v>0</v>
      </c>
      <c r="H11" s="14"/>
      <c r="I11" s="10"/>
      <c r="J11" s="12" t="s">
        <v>6</v>
      </c>
      <c r="K11" s="15">
        <v>0</v>
      </c>
      <c r="L11" s="14"/>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15">
        <v>0</v>
      </c>
      <c r="AJ11" s="14"/>
      <c r="AK11" s="10"/>
      <c r="AL11" s="12" t="s">
        <v>6</v>
      </c>
      <c r="AM11" s="15">
        <v>0</v>
      </c>
      <c r="AN11" s="14"/>
      <c r="AO11" s="10"/>
      <c r="AP11" s="12" t="s">
        <v>6</v>
      </c>
      <c r="AQ11" s="15">
        <v>0</v>
      </c>
      <c r="AR11" s="14"/>
      <c r="AS11" s="10"/>
      <c r="AT11" s="12" t="s">
        <v>6</v>
      </c>
      <c r="AU11" s="15">
        <v>0</v>
      </c>
      <c r="AV11" s="14"/>
      <c r="AW11" s="10"/>
      <c r="AX11" s="12" t="s">
        <v>6</v>
      </c>
      <c r="AY11" s="15">
        <v>0</v>
      </c>
      <c r="AZ11" s="14"/>
      <c r="BA11" s="51"/>
    </row>
    <row r="12" spans="1:53" ht="15" customHeight="1">
      <c r="A12" s="11"/>
      <c r="B12" s="12" t="s">
        <v>5</v>
      </c>
      <c r="C12" s="13" t="s">
        <v>51</v>
      </c>
      <c r="D12" s="14"/>
      <c r="E12" s="10"/>
      <c r="F12" s="12" t="s">
        <v>5</v>
      </c>
      <c r="G12" s="13" t="s">
        <v>4</v>
      </c>
      <c r="H12" s="14"/>
      <c r="I12" s="10"/>
      <c r="J12" s="12" t="s">
        <v>5</v>
      </c>
      <c r="K12" s="13" t="s">
        <v>4</v>
      </c>
      <c r="L12" s="14"/>
      <c r="M12" s="10"/>
      <c r="N12" s="12" t="s">
        <v>5</v>
      </c>
      <c r="O12" s="13" t="s">
        <v>4</v>
      </c>
      <c r="P12" s="14"/>
      <c r="Q12" s="10"/>
      <c r="R12" s="12" t="s">
        <v>5</v>
      </c>
      <c r="S12" s="13" t="s">
        <v>4</v>
      </c>
      <c r="T12" s="14"/>
      <c r="U12" s="10"/>
      <c r="V12" s="12" t="s">
        <v>5</v>
      </c>
      <c r="W12" s="13" t="s">
        <v>4</v>
      </c>
      <c r="X12" s="14"/>
      <c r="Y12" s="10"/>
      <c r="Z12" s="12" t="s">
        <v>5</v>
      </c>
      <c r="AA12" s="50" t="s">
        <v>107</v>
      </c>
      <c r="AB12" s="14"/>
      <c r="AC12" s="10"/>
      <c r="AD12" s="12" t="s">
        <v>5</v>
      </c>
      <c r="AE12" s="13" t="s">
        <v>4</v>
      </c>
      <c r="AF12" s="14"/>
      <c r="AG12" s="10"/>
      <c r="AH12" s="12" t="s">
        <v>5</v>
      </c>
      <c r="AI12" s="54" t="s">
        <v>253</v>
      </c>
      <c r="AJ12" s="14"/>
      <c r="AK12" s="10"/>
      <c r="AL12" s="12" t="s">
        <v>5</v>
      </c>
      <c r="AM12" s="13" t="s">
        <v>4</v>
      </c>
      <c r="AN12" s="14"/>
      <c r="AO12" s="10"/>
      <c r="AP12" s="12" t="s">
        <v>5</v>
      </c>
      <c r="AQ12" s="13" t="s">
        <v>4</v>
      </c>
      <c r="AR12" s="14"/>
      <c r="AS12" s="10"/>
      <c r="AT12" s="12" t="s">
        <v>5</v>
      </c>
      <c r="AU12" s="13" t="s">
        <v>4</v>
      </c>
      <c r="AV12" s="14"/>
      <c r="AW12" s="10"/>
      <c r="AX12" s="12" t="s">
        <v>5</v>
      </c>
      <c r="AY12" s="13" t="s">
        <v>4</v>
      </c>
      <c r="AZ12" s="14"/>
      <c r="BA12" s="51"/>
    </row>
    <row r="13" spans="1:53" ht="15" customHeight="1">
      <c r="A13" s="11"/>
      <c r="B13" s="12" t="s">
        <v>11</v>
      </c>
      <c r="C13" s="15" t="s">
        <v>131</v>
      </c>
      <c r="D13" s="14">
        <v>6000</v>
      </c>
      <c r="E13" s="9"/>
      <c r="F13" s="12" t="s">
        <v>11</v>
      </c>
      <c r="G13" s="15" t="s">
        <v>13</v>
      </c>
      <c r="H13" s="14">
        <v>0</v>
      </c>
      <c r="I13" s="10"/>
      <c r="J13" s="12" t="s">
        <v>11</v>
      </c>
      <c r="K13" s="15" t="s">
        <v>13</v>
      </c>
      <c r="L13" s="14">
        <v>0</v>
      </c>
      <c r="M13" s="10"/>
      <c r="N13" s="12" t="s">
        <v>11</v>
      </c>
      <c r="O13" s="15" t="s">
        <v>13</v>
      </c>
      <c r="P13" s="14">
        <v>0</v>
      </c>
      <c r="Q13" s="10"/>
      <c r="R13" s="12" t="s">
        <v>11</v>
      </c>
      <c r="S13" s="15" t="s">
        <v>13</v>
      </c>
      <c r="T13" s="14">
        <v>0</v>
      </c>
      <c r="U13" s="10"/>
      <c r="V13" s="12" t="s">
        <v>11</v>
      </c>
      <c r="W13" s="15" t="s">
        <v>13</v>
      </c>
      <c r="X13" s="14">
        <v>0</v>
      </c>
      <c r="Y13" s="10"/>
      <c r="Z13" s="12" t="s">
        <v>11</v>
      </c>
      <c r="AA13" s="15" t="s">
        <v>13</v>
      </c>
      <c r="AB13" s="14">
        <v>0</v>
      </c>
      <c r="AC13" s="10"/>
      <c r="AD13" s="12" t="s">
        <v>11</v>
      </c>
      <c r="AE13" s="15" t="s">
        <v>13</v>
      </c>
      <c r="AF13" s="14">
        <v>0</v>
      </c>
      <c r="AG13" s="10"/>
      <c r="AH13" s="12" t="s">
        <v>11</v>
      </c>
      <c r="AI13" s="54" t="s">
        <v>131</v>
      </c>
      <c r="AJ13" s="55">
        <v>2000</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s="51"/>
    </row>
    <row r="14" spans="1:53" ht="15" customHeight="1">
      <c r="A14" s="11"/>
      <c r="B14" s="12" t="s">
        <v>12</v>
      </c>
      <c r="C14" s="15" t="s">
        <v>13</v>
      </c>
      <c r="D14" s="14">
        <v>0</v>
      </c>
      <c r="E14" s="9"/>
      <c r="F14" s="12" t="s">
        <v>12</v>
      </c>
      <c r="G14" s="15" t="s">
        <v>13</v>
      </c>
      <c r="H14" s="14">
        <v>0</v>
      </c>
      <c r="I14" s="10"/>
      <c r="J14" s="12" t="s">
        <v>12</v>
      </c>
      <c r="K14" s="15" t="s">
        <v>13</v>
      </c>
      <c r="L14" s="14">
        <v>0</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6">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s="51"/>
    </row>
    <row r="15" spans="1:53" ht="15" customHeight="1">
      <c r="A15" s="11"/>
      <c r="B15" s="12" t="s">
        <v>14</v>
      </c>
      <c r="C15" s="15" t="s">
        <v>13</v>
      </c>
      <c r="D15" s="14">
        <v>0</v>
      </c>
      <c r="E15" s="9"/>
      <c r="F15" s="12" t="s">
        <v>14</v>
      </c>
      <c r="G15" s="15" t="s">
        <v>13</v>
      </c>
      <c r="H15" s="14">
        <v>0</v>
      </c>
      <c r="I15" s="10"/>
      <c r="J15" s="12" t="s">
        <v>14</v>
      </c>
      <c r="K15" s="15" t="s">
        <v>13</v>
      </c>
      <c r="L15" s="14">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s="51"/>
    </row>
    <row r="16" spans="1:53" s="20" customFormat="1" ht="5.0999999999999996" customHeight="1">
      <c r="A16" s="17"/>
      <c r="B16" s="18"/>
      <c r="C16" s="18"/>
      <c r="D16" s="18"/>
      <c r="E16" s="19"/>
      <c r="F16" s="18"/>
      <c r="G16" s="18"/>
      <c r="H16" s="18"/>
      <c r="I16" s="19"/>
      <c r="J16" s="18"/>
      <c r="K16" s="56"/>
      <c r="L16" s="56"/>
      <c r="M16" s="19"/>
      <c r="N16" s="18"/>
      <c r="O16" s="18"/>
      <c r="P16" s="18"/>
      <c r="Q16" s="19"/>
      <c r="R16" s="18"/>
      <c r="S16" s="18"/>
      <c r="T16" s="18"/>
      <c r="U16" s="19"/>
      <c r="V16" s="18"/>
      <c r="W16" s="18"/>
      <c r="X16" s="18"/>
      <c r="Y16" s="19"/>
      <c r="Z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s="51"/>
    </row>
    <row r="17" spans="1:53" ht="15" customHeight="1">
      <c r="A17" s="11"/>
      <c r="B17" s="12" t="s">
        <v>7</v>
      </c>
      <c r="C17" s="13">
        <v>0</v>
      </c>
      <c r="D17" s="14"/>
      <c r="E17" s="10"/>
      <c r="F17" s="12" t="s">
        <v>7</v>
      </c>
      <c r="G17" s="13">
        <v>0</v>
      </c>
      <c r="H17" s="14"/>
      <c r="I17" s="10"/>
      <c r="J17" s="12" t="s">
        <v>7</v>
      </c>
      <c r="K17" s="13">
        <v>0</v>
      </c>
      <c r="L17" s="14"/>
      <c r="M17" s="10"/>
      <c r="N17" s="12" t="s">
        <v>7</v>
      </c>
      <c r="O17" s="13">
        <v>0</v>
      </c>
      <c r="P17" s="14"/>
      <c r="Q17" s="10"/>
      <c r="R17" s="12" t="s">
        <v>7</v>
      </c>
      <c r="S17" s="13">
        <v>0</v>
      </c>
      <c r="T17" s="14"/>
      <c r="U17" s="10"/>
      <c r="V17" s="12" t="s">
        <v>7</v>
      </c>
      <c r="W17" s="13">
        <v>0</v>
      </c>
      <c r="X17" s="14"/>
      <c r="Y17" s="10"/>
      <c r="Z17" s="12" t="s">
        <v>7</v>
      </c>
      <c r="AA17" s="58">
        <v>57000</v>
      </c>
      <c r="AB17" s="14"/>
      <c r="AC17" s="10"/>
      <c r="AD17" s="12" t="s">
        <v>7</v>
      </c>
      <c r="AE17" s="13">
        <v>0</v>
      </c>
      <c r="AF17" s="14"/>
      <c r="AG17" s="10"/>
      <c r="AH17" s="12" t="s">
        <v>7</v>
      </c>
      <c r="AI17" s="54">
        <v>75000</v>
      </c>
      <c r="AJ17" s="14"/>
      <c r="AK17" s="10"/>
      <c r="AL17" s="12" t="s">
        <v>7</v>
      </c>
      <c r="AM17" s="13">
        <v>0</v>
      </c>
      <c r="AN17" s="14"/>
      <c r="AO17" s="10"/>
      <c r="AP17" s="12" t="s">
        <v>7</v>
      </c>
      <c r="AQ17" s="13">
        <v>0</v>
      </c>
      <c r="AR17" s="14"/>
      <c r="AS17" s="10"/>
      <c r="AT17" s="12" t="s">
        <v>7</v>
      </c>
      <c r="AU17" s="13">
        <v>0</v>
      </c>
      <c r="AV17" s="14"/>
      <c r="AW17" s="10"/>
      <c r="AX17" s="12" t="s">
        <v>7</v>
      </c>
      <c r="AY17" s="13">
        <v>0</v>
      </c>
      <c r="AZ17" s="14"/>
      <c r="BA17" s="51"/>
    </row>
    <row r="18" spans="1:53" ht="15" customHeight="1">
      <c r="A18" s="11"/>
      <c r="B18" s="12" t="s">
        <v>6</v>
      </c>
      <c r="C18" s="15">
        <v>0</v>
      </c>
      <c r="D18" s="14"/>
      <c r="E18" s="10"/>
      <c r="F18" s="12" t="s">
        <v>6</v>
      </c>
      <c r="G18" s="15">
        <v>0</v>
      </c>
      <c r="H18" s="14"/>
      <c r="I18" s="10"/>
      <c r="J18" s="12" t="s">
        <v>6</v>
      </c>
      <c r="K18" s="15">
        <v>0</v>
      </c>
      <c r="L18" s="14"/>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15">
        <v>0</v>
      </c>
      <c r="AJ18" s="14"/>
      <c r="AK18" s="10"/>
      <c r="AL18" s="12" t="s">
        <v>6</v>
      </c>
      <c r="AM18" s="15">
        <v>0</v>
      </c>
      <c r="AN18" s="14"/>
      <c r="AO18" s="10"/>
      <c r="AP18" s="12" t="s">
        <v>6</v>
      </c>
      <c r="AQ18" s="15">
        <v>0</v>
      </c>
      <c r="AR18" s="14"/>
      <c r="AS18" s="10"/>
      <c r="AT18" s="12" t="s">
        <v>6</v>
      </c>
      <c r="AU18" s="15">
        <v>0</v>
      </c>
      <c r="AV18" s="14"/>
      <c r="AW18" s="10"/>
      <c r="AX18" s="12" t="s">
        <v>6</v>
      </c>
      <c r="AY18" s="15">
        <v>0</v>
      </c>
      <c r="AZ18" s="14"/>
      <c r="BA18" s="51"/>
    </row>
    <row r="19" spans="1:53" ht="15" customHeight="1">
      <c r="A19" s="11"/>
      <c r="B19" s="12" t="s">
        <v>5</v>
      </c>
      <c r="C19" s="13" t="s">
        <v>4</v>
      </c>
      <c r="D19" s="14"/>
      <c r="E19" s="10"/>
      <c r="F19" s="12" t="s">
        <v>5</v>
      </c>
      <c r="G19" s="13" t="s">
        <v>4</v>
      </c>
      <c r="H19" s="14"/>
      <c r="I19" s="10"/>
      <c r="J19" s="12" t="s">
        <v>5</v>
      </c>
      <c r="K19" s="13" t="s">
        <v>4</v>
      </c>
      <c r="L19" s="14"/>
      <c r="M19" s="10"/>
      <c r="N19" s="12" t="s">
        <v>5</v>
      </c>
      <c r="O19" s="13" t="s">
        <v>4</v>
      </c>
      <c r="P19" s="14"/>
      <c r="Q19" s="10"/>
      <c r="R19" s="12" t="s">
        <v>5</v>
      </c>
      <c r="S19" s="13" t="s">
        <v>4</v>
      </c>
      <c r="T19" s="14"/>
      <c r="U19" s="10"/>
      <c r="V19" s="12" t="s">
        <v>5</v>
      </c>
      <c r="W19" s="13" t="s">
        <v>4</v>
      </c>
      <c r="X19" s="14"/>
      <c r="Y19" s="10"/>
      <c r="Z19" s="12" t="s">
        <v>5</v>
      </c>
      <c r="AA19" s="58" t="s">
        <v>265</v>
      </c>
      <c r="AB19" s="14"/>
      <c r="AC19" s="10"/>
      <c r="AD19" s="12" t="s">
        <v>5</v>
      </c>
      <c r="AE19" s="13" t="s">
        <v>4</v>
      </c>
      <c r="AF19" s="14"/>
      <c r="AG19" s="10"/>
      <c r="AH19" s="12" t="s">
        <v>5</v>
      </c>
      <c r="AI19" s="54" t="s">
        <v>251</v>
      </c>
      <c r="AJ19" s="14"/>
      <c r="AK19" s="10"/>
      <c r="AL19" s="12" t="s">
        <v>5</v>
      </c>
      <c r="AM19" s="13" t="s">
        <v>4</v>
      </c>
      <c r="AN19" s="14"/>
      <c r="AO19" s="10"/>
      <c r="AP19" s="12" t="s">
        <v>5</v>
      </c>
      <c r="AQ19" s="13" t="s">
        <v>4</v>
      </c>
      <c r="AR19" s="14"/>
      <c r="AS19" s="10"/>
      <c r="AT19" s="12" t="s">
        <v>5</v>
      </c>
      <c r="AU19" s="13" t="s">
        <v>4</v>
      </c>
      <c r="AV19" s="14"/>
      <c r="AW19" s="10"/>
      <c r="AX19" s="12" t="s">
        <v>5</v>
      </c>
      <c r="AY19" s="13" t="s">
        <v>4</v>
      </c>
      <c r="AZ19" s="14"/>
      <c r="BA19" s="51"/>
    </row>
    <row r="20" spans="1:53" ht="15" customHeight="1">
      <c r="A20" s="11"/>
      <c r="B20" s="12" t="s">
        <v>11</v>
      </c>
      <c r="C20" s="15" t="s">
        <v>13</v>
      </c>
      <c r="D20" s="43">
        <v>0</v>
      </c>
      <c r="E20" s="9"/>
      <c r="F20" s="12" t="s">
        <v>11</v>
      </c>
      <c r="G20" s="15" t="s">
        <v>13</v>
      </c>
      <c r="H20" s="14">
        <v>0</v>
      </c>
      <c r="I20" s="10"/>
      <c r="J20" s="12" t="s">
        <v>11</v>
      </c>
      <c r="K20" s="15" t="s">
        <v>13</v>
      </c>
      <c r="L20" s="14">
        <v>0</v>
      </c>
      <c r="M20" s="10"/>
      <c r="N20" s="12" t="s">
        <v>11</v>
      </c>
      <c r="O20" s="15" t="s">
        <v>13</v>
      </c>
      <c r="P20" s="14">
        <v>0</v>
      </c>
      <c r="Q20" s="10"/>
      <c r="R20" s="12" t="s">
        <v>11</v>
      </c>
      <c r="S20" s="15" t="s">
        <v>13</v>
      </c>
      <c r="T20" s="14">
        <v>0</v>
      </c>
      <c r="U20" s="10"/>
      <c r="V20" s="12" t="s">
        <v>11</v>
      </c>
      <c r="W20" s="15" t="s">
        <v>13</v>
      </c>
      <c r="X20" s="14">
        <v>0</v>
      </c>
      <c r="Y20" s="10"/>
      <c r="Z20" s="12" t="s">
        <v>11</v>
      </c>
      <c r="AA20" s="59" t="s">
        <v>131</v>
      </c>
      <c r="AB20" s="60">
        <v>5000</v>
      </c>
      <c r="AC20" s="10"/>
      <c r="AD20" s="12" t="s">
        <v>11</v>
      </c>
      <c r="AE20" s="15" t="s">
        <v>13</v>
      </c>
      <c r="AF20" s="14">
        <v>0</v>
      </c>
      <c r="AG20" s="10"/>
      <c r="AH20" s="12" t="s">
        <v>11</v>
      </c>
      <c r="AI20" s="54" t="s">
        <v>131</v>
      </c>
      <c r="AJ20" s="55">
        <v>2000</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s="51"/>
    </row>
    <row r="21" spans="1:53" ht="15" customHeight="1">
      <c r="A21" s="11"/>
      <c r="B21" s="12" t="s">
        <v>12</v>
      </c>
      <c r="C21" s="15" t="s">
        <v>13</v>
      </c>
      <c r="D21" s="14">
        <v>0</v>
      </c>
      <c r="E21" s="9"/>
      <c r="F21" s="12" t="s">
        <v>12</v>
      </c>
      <c r="G21" s="15" t="s">
        <v>13</v>
      </c>
      <c r="H21" s="14">
        <v>0</v>
      </c>
      <c r="I21" s="10"/>
      <c r="J21" s="12" t="s">
        <v>12</v>
      </c>
      <c r="K21" s="15" t="s">
        <v>13</v>
      </c>
      <c r="L21" s="14">
        <v>0</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15" t="s">
        <v>13</v>
      </c>
      <c r="AJ21" s="55">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s="51"/>
    </row>
    <row r="22" spans="1:53" ht="15" customHeight="1">
      <c r="A22" s="11"/>
      <c r="B22" s="12" t="s">
        <v>14</v>
      </c>
      <c r="C22" s="15" t="s">
        <v>13</v>
      </c>
      <c r="D22" s="14">
        <v>0</v>
      </c>
      <c r="E22" s="9"/>
      <c r="F22" s="12" t="s">
        <v>14</v>
      </c>
      <c r="G22" s="15" t="s">
        <v>13</v>
      </c>
      <c r="H22" s="14">
        <v>0</v>
      </c>
      <c r="I22" s="10"/>
      <c r="J22" s="12" t="s">
        <v>14</v>
      </c>
      <c r="K22" s="15" t="s">
        <v>13</v>
      </c>
      <c r="L22" s="14">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15" t="s">
        <v>13</v>
      </c>
      <c r="AJ22" s="14">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s="51"/>
    </row>
    <row r="23" spans="1:53" s="20" customFormat="1" ht="5.0999999999999996" customHeight="1">
      <c r="A23" s="17"/>
      <c r="B23" s="18"/>
      <c r="C23" s="18"/>
      <c r="D23" s="18"/>
      <c r="E23" s="19"/>
      <c r="F23" s="18"/>
      <c r="G23" s="18"/>
      <c r="H23" s="18"/>
      <c r="I23" s="19"/>
      <c r="J23" s="18"/>
      <c r="K23" s="56"/>
      <c r="L23" s="56"/>
      <c r="M23" s="19"/>
      <c r="N23" s="18"/>
      <c r="O23" s="18"/>
      <c r="P23" s="18"/>
      <c r="Q23" s="19"/>
      <c r="R23" s="18"/>
      <c r="S23" s="18"/>
      <c r="T23" s="18"/>
      <c r="U23" s="19"/>
      <c r="V23" s="18"/>
      <c r="W23" s="18"/>
      <c r="X23" s="18"/>
      <c r="Y23" s="19"/>
      <c r="Z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s="51"/>
    </row>
    <row r="24" spans="1:53" ht="15" customHeight="1">
      <c r="A24" s="11"/>
      <c r="B24" s="12" t="s">
        <v>7</v>
      </c>
      <c r="C24" s="13">
        <v>0</v>
      </c>
      <c r="D24" s="14"/>
      <c r="E24" s="10"/>
      <c r="F24" s="12" t="s">
        <v>7</v>
      </c>
      <c r="G24" s="13">
        <v>0</v>
      </c>
      <c r="H24" s="14"/>
      <c r="I24" s="10"/>
      <c r="J24" s="12" t="s">
        <v>7</v>
      </c>
      <c r="K24" s="13">
        <v>0</v>
      </c>
      <c r="L24" s="14"/>
      <c r="M24" s="10"/>
      <c r="N24" s="12" t="s">
        <v>7</v>
      </c>
      <c r="O24" s="13">
        <v>0</v>
      </c>
      <c r="P24" s="14"/>
      <c r="Q24" s="10"/>
      <c r="R24" s="12" t="s">
        <v>7</v>
      </c>
      <c r="S24" s="13">
        <v>0</v>
      </c>
      <c r="T24" s="14"/>
      <c r="U24" s="10"/>
      <c r="V24" s="12" t="s">
        <v>7</v>
      </c>
      <c r="W24" s="13">
        <v>0</v>
      </c>
      <c r="X24" s="14"/>
      <c r="Y24" s="10"/>
      <c r="Z24" s="12" t="s">
        <v>7</v>
      </c>
      <c r="AA24" s="44">
        <v>50000</v>
      </c>
      <c r="AB24" s="43"/>
      <c r="AC24" s="10"/>
      <c r="AD24" s="12" t="s">
        <v>7</v>
      </c>
      <c r="AE24" s="13">
        <v>0</v>
      </c>
      <c r="AF24" s="14"/>
      <c r="AG24" s="10"/>
      <c r="AH24" s="12" t="s">
        <v>7</v>
      </c>
      <c r="AI24" s="54">
        <v>72000</v>
      </c>
      <c r="AJ24" s="14"/>
      <c r="AK24" s="10"/>
      <c r="AL24" s="12" t="s">
        <v>7</v>
      </c>
      <c r="AM24" s="13">
        <v>0</v>
      </c>
      <c r="AN24" s="14"/>
      <c r="AO24" s="10"/>
      <c r="AP24" s="12" t="s">
        <v>7</v>
      </c>
      <c r="AQ24" s="13">
        <v>0</v>
      </c>
      <c r="AR24" s="14"/>
      <c r="AS24" s="10"/>
      <c r="AT24" s="12" t="s">
        <v>7</v>
      </c>
      <c r="AU24" s="13">
        <v>0</v>
      </c>
      <c r="AV24" s="14"/>
      <c r="AW24" s="10"/>
      <c r="AX24" s="12" t="s">
        <v>7</v>
      </c>
      <c r="AY24" s="13">
        <v>0</v>
      </c>
      <c r="AZ24" s="14"/>
      <c r="BA24" s="51"/>
    </row>
    <row r="25" spans="1:53" ht="15" customHeight="1">
      <c r="A25" s="11"/>
      <c r="B25" s="12" t="s">
        <v>6</v>
      </c>
      <c r="C25" s="15">
        <v>0</v>
      </c>
      <c r="D25" s="14"/>
      <c r="E25" s="10"/>
      <c r="F25" s="12" t="s">
        <v>6</v>
      </c>
      <c r="G25" s="15">
        <v>0</v>
      </c>
      <c r="H25" s="14"/>
      <c r="I25" s="10"/>
      <c r="J25" s="12" t="s">
        <v>6</v>
      </c>
      <c r="K25" s="15">
        <v>0</v>
      </c>
      <c r="L25" s="14"/>
      <c r="M25" s="10"/>
      <c r="N25" s="12" t="s">
        <v>6</v>
      </c>
      <c r="O25" s="15">
        <v>0</v>
      </c>
      <c r="P25" s="14"/>
      <c r="Q25" s="10"/>
      <c r="R25" s="12" t="s">
        <v>6</v>
      </c>
      <c r="S25" s="15">
        <v>0</v>
      </c>
      <c r="T25" s="14"/>
      <c r="U25" s="10"/>
      <c r="V25" s="12" t="s">
        <v>6</v>
      </c>
      <c r="W25" s="15">
        <v>0</v>
      </c>
      <c r="X25" s="14"/>
      <c r="Y25" s="10"/>
      <c r="Z25" s="12" t="s">
        <v>6</v>
      </c>
      <c r="AA25" s="44">
        <v>0</v>
      </c>
      <c r="AB25" s="43"/>
      <c r="AC25" s="10"/>
      <c r="AD25" s="12" t="s">
        <v>6</v>
      </c>
      <c r="AE25" s="15">
        <v>0</v>
      </c>
      <c r="AF25" s="14"/>
      <c r="AG25" s="10"/>
      <c r="AH25" s="12" t="s">
        <v>6</v>
      </c>
      <c r="AI25" s="15">
        <v>0</v>
      </c>
      <c r="AJ25" s="14"/>
      <c r="AK25" s="10"/>
      <c r="AL25" s="12" t="s">
        <v>6</v>
      </c>
      <c r="AM25" s="15">
        <v>0</v>
      </c>
      <c r="AN25" s="14"/>
      <c r="AO25" s="10"/>
      <c r="AP25" s="12" t="s">
        <v>6</v>
      </c>
      <c r="AQ25" s="15">
        <v>0</v>
      </c>
      <c r="AR25" s="14"/>
      <c r="AS25" s="10"/>
      <c r="AT25" s="12" t="s">
        <v>6</v>
      </c>
      <c r="AU25" s="15">
        <v>0</v>
      </c>
      <c r="AV25" s="14"/>
      <c r="AW25" s="10"/>
      <c r="AX25" s="12" t="s">
        <v>6</v>
      </c>
      <c r="AY25" s="15">
        <v>0</v>
      </c>
      <c r="AZ25" s="14"/>
      <c r="BA25" s="51"/>
    </row>
    <row r="26" spans="1:53" ht="15" customHeight="1">
      <c r="A26" s="11"/>
      <c r="B26" s="12" t="s">
        <v>5</v>
      </c>
      <c r="C26" s="13" t="s">
        <v>4</v>
      </c>
      <c r="D26" s="14"/>
      <c r="E26" s="10"/>
      <c r="F26" s="12" t="s">
        <v>5</v>
      </c>
      <c r="G26" s="13" t="s">
        <v>4</v>
      </c>
      <c r="H26" s="14"/>
      <c r="I26" s="10"/>
      <c r="J26" s="12" t="s">
        <v>5</v>
      </c>
      <c r="K26" s="13" t="s">
        <v>4</v>
      </c>
      <c r="L26" s="14"/>
      <c r="M26" s="10"/>
      <c r="N26" s="12" t="s">
        <v>5</v>
      </c>
      <c r="O26" s="13" t="s">
        <v>4</v>
      </c>
      <c r="P26" s="14"/>
      <c r="Q26" s="10"/>
      <c r="R26" s="12" t="s">
        <v>5</v>
      </c>
      <c r="S26" s="13" t="s">
        <v>4</v>
      </c>
      <c r="T26" s="14"/>
      <c r="U26" s="10"/>
      <c r="V26" s="12" t="s">
        <v>5</v>
      </c>
      <c r="W26" s="13" t="s">
        <v>4</v>
      </c>
      <c r="X26" s="14"/>
      <c r="Y26" s="10"/>
      <c r="Z26" s="12" t="s">
        <v>5</v>
      </c>
      <c r="AA26" s="44" t="s">
        <v>113</v>
      </c>
      <c r="AB26" s="43"/>
      <c r="AC26" s="10"/>
      <c r="AD26" s="12" t="s">
        <v>5</v>
      </c>
      <c r="AE26" s="13" t="s">
        <v>4</v>
      </c>
      <c r="AF26" s="14"/>
      <c r="AG26" s="10"/>
      <c r="AH26" s="12" t="s">
        <v>5</v>
      </c>
      <c r="AI26" s="54" t="s">
        <v>257</v>
      </c>
      <c r="AJ26" s="14"/>
      <c r="AK26" s="10"/>
      <c r="AL26" s="12" t="s">
        <v>5</v>
      </c>
      <c r="AM26" s="13" t="s">
        <v>4</v>
      </c>
      <c r="AN26" s="14"/>
      <c r="AO26" s="10"/>
      <c r="AP26" s="12" t="s">
        <v>5</v>
      </c>
      <c r="AQ26" s="13" t="s">
        <v>4</v>
      </c>
      <c r="AR26" s="14"/>
      <c r="AS26" s="10"/>
      <c r="AT26" s="12" t="s">
        <v>5</v>
      </c>
      <c r="AU26" s="13" t="s">
        <v>4</v>
      </c>
      <c r="AV26" s="14"/>
      <c r="AW26" s="10"/>
      <c r="AX26" s="12" t="s">
        <v>5</v>
      </c>
      <c r="AY26" s="13" t="s">
        <v>4</v>
      </c>
      <c r="AZ26" s="14"/>
      <c r="BA26" s="51"/>
    </row>
    <row r="27" spans="1:53" ht="15" customHeight="1">
      <c r="A27" s="11"/>
      <c r="B27" s="12" t="s">
        <v>11</v>
      </c>
      <c r="C27" s="15" t="s">
        <v>13</v>
      </c>
      <c r="D27" s="43">
        <v>0</v>
      </c>
      <c r="E27" s="9"/>
      <c r="F27" s="12" t="s">
        <v>11</v>
      </c>
      <c r="G27" s="15" t="s">
        <v>13</v>
      </c>
      <c r="H27" s="14">
        <v>0</v>
      </c>
      <c r="I27" s="10"/>
      <c r="J27" s="12" t="s">
        <v>11</v>
      </c>
      <c r="K27" s="15" t="s">
        <v>13</v>
      </c>
      <c r="L27" s="14">
        <v>0</v>
      </c>
      <c r="M27" s="10"/>
      <c r="N27" s="12" t="s">
        <v>11</v>
      </c>
      <c r="O27" s="15" t="s">
        <v>13</v>
      </c>
      <c r="P27" s="14">
        <v>0</v>
      </c>
      <c r="Q27" s="10"/>
      <c r="R27" s="12" t="s">
        <v>11</v>
      </c>
      <c r="S27" s="15" t="s">
        <v>13</v>
      </c>
      <c r="T27" s="14">
        <v>0</v>
      </c>
      <c r="U27" s="10"/>
      <c r="V27" s="12" t="s">
        <v>11</v>
      </c>
      <c r="W27" s="15" t="s">
        <v>13</v>
      </c>
      <c r="X27" s="14">
        <v>0</v>
      </c>
      <c r="Y27" s="10"/>
      <c r="Z27" s="12" t="s">
        <v>11</v>
      </c>
      <c r="AA27" s="44" t="s">
        <v>131</v>
      </c>
      <c r="AB27" s="43">
        <v>1999</v>
      </c>
      <c r="AC27" s="10"/>
      <c r="AD27" s="12" t="s">
        <v>11</v>
      </c>
      <c r="AE27" s="15" t="s">
        <v>13</v>
      </c>
      <c r="AF27" s="14">
        <v>0</v>
      </c>
      <c r="AG27" s="10"/>
      <c r="AH27" s="12" t="s">
        <v>11</v>
      </c>
      <c r="AI27" s="54" t="s">
        <v>131</v>
      </c>
      <c r="AJ27" s="55">
        <v>2000</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s="51"/>
    </row>
    <row r="28" spans="1:53" ht="15" customHeight="1">
      <c r="A28" s="11"/>
      <c r="B28" s="12" t="s">
        <v>12</v>
      </c>
      <c r="C28" s="15" t="s">
        <v>13</v>
      </c>
      <c r="D28" s="14">
        <v>0</v>
      </c>
      <c r="E28" s="9"/>
      <c r="F28" s="12" t="s">
        <v>12</v>
      </c>
      <c r="G28" s="15" t="s">
        <v>13</v>
      </c>
      <c r="H28" s="16">
        <v>0</v>
      </c>
      <c r="I28" s="10"/>
      <c r="J28" s="12" t="s">
        <v>12</v>
      </c>
      <c r="K28" s="15" t="s">
        <v>13</v>
      </c>
      <c r="L28" s="14">
        <v>0</v>
      </c>
      <c r="M28" s="10"/>
      <c r="N28" s="12" t="s">
        <v>12</v>
      </c>
      <c r="O28" s="15" t="s">
        <v>13</v>
      </c>
      <c r="P28" s="16">
        <v>0</v>
      </c>
      <c r="Q28" s="10"/>
      <c r="R28" s="12" t="s">
        <v>12</v>
      </c>
      <c r="S28" s="15" t="s">
        <v>13</v>
      </c>
      <c r="T28" s="16">
        <v>0</v>
      </c>
      <c r="U28" s="10"/>
      <c r="V28" s="12" t="s">
        <v>12</v>
      </c>
      <c r="W28" s="15" t="s">
        <v>13</v>
      </c>
      <c r="X28" s="16">
        <v>0</v>
      </c>
      <c r="Y28" s="10"/>
      <c r="Z28" s="12" t="s">
        <v>12</v>
      </c>
      <c r="AA28" s="15" t="s">
        <v>13</v>
      </c>
      <c r="AB28" s="14">
        <v>0</v>
      </c>
      <c r="AC28" s="10"/>
      <c r="AD28" s="12" t="s">
        <v>12</v>
      </c>
      <c r="AE28" s="15" t="s">
        <v>13</v>
      </c>
      <c r="AF28" s="16">
        <v>0</v>
      </c>
      <c r="AG28" s="10"/>
      <c r="AH28" s="12" t="s">
        <v>12</v>
      </c>
      <c r="AI28" s="44" t="s">
        <v>268</v>
      </c>
      <c r="AJ28" s="43">
        <v>5000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s="51"/>
    </row>
    <row r="29" spans="1:53" ht="15" customHeight="1">
      <c r="A29" s="11"/>
      <c r="B29" s="12" t="s">
        <v>14</v>
      </c>
      <c r="C29" s="15" t="s">
        <v>13</v>
      </c>
      <c r="D29" s="14">
        <v>0</v>
      </c>
      <c r="E29" s="9"/>
      <c r="F29" s="12" t="s">
        <v>14</v>
      </c>
      <c r="G29" s="15" t="s">
        <v>13</v>
      </c>
      <c r="H29" s="14">
        <v>0</v>
      </c>
      <c r="I29" s="10"/>
      <c r="J29" s="12" t="s">
        <v>14</v>
      </c>
      <c r="K29" s="15" t="s">
        <v>13</v>
      </c>
      <c r="L29" s="14">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15" t="s">
        <v>13</v>
      </c>
      <c r="AJ29" s="14">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s="51"/>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s="51"/>
    </row>
    <row r="31" spans="1:53" ht="15" customHeight="1">
      <c r="A31" s="11"/>
      <c r="B31" s="12" t="s">
        <v>7</v>
      </c>
      <c r="C31" s="13">
        <v>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44">
        <v>49000</v>
      </c>
      <c r="AB31" s="43"/>
      <c r="AC31" s="10"/>
      <c r="AD31" s="12" t="s">
        <v>7</v>
      </c>
      <c r="AE31" s="13">
        <v>0</v>
      </c>
      <c r="AF31" s="14"/>
      <c r="AG31" s="10"/>
      <c r="AH31" s="12" t="s">
        <v>7</v>
      </c>
      <c r="AI31" s="44">
        <v>69000</v>
      </c>
      <c r="AJ31" s="14"/>
      <c r="AK31" s="10"/>
      <c r="AL31" s="12" t="s">
        <v>7</v>
      </c>
      <c r="AM31" s="13">
        <v>0</v>
      </c>
      <c r="AN31" s="14"/>
      <c r="AO31" s="10"/>
      <c r="AP31" s="12" t="s">
        <v>7</v>
      </c>
      <c r="AQ31" s="13">
        <v>0</v>
      </c>
      <c r="AR31" s="14"/>
      <c r="AS31" s="10"/>
      <c r="AT31" s="12" t="s">
        <v>7</v>
      </c>
      <c r="AU31" s="13">
        <v>0</v>
      </c>
      <c r="AV31" s="14"/>
      <c r="AW31" s="10"/>
      <c r="AX31" s="12" t="s">
        <v>7</v>
      </c>
      <c r="AY31" s="13">
        <v>0</v>
      </c>
      <c r="AZ31" s="14"/>
      <c r="BA31" s="5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44">
        <v>0</v>
      </c>
      <c r="AB32" s="43"/>
      <c r="AC32" s="10"/>
      <c r="AD32" s="12" t="s">
        <v>6</v>
      </c>
      <c r="AE32" s="15">
        <v>0</v>
      </c>
      <c r="AF32" s="14"/>
      <c r="AG32" s="10"/>
      <c r="AH32" s="12" t="s">
        <v>6</v>
      </c>
      <c r="AI32" s="15">
        <v>0</v>
      </c>
      <c r="AJ32" s="14"/>
      <c r="AK32" s="10"/>
      <c r="AL32" s="12" t="s">
        <v>6</v>
      </c>
      <c r="AM32" s="15">
        <v>0</v>
      </c>
      <c r="AN32" s="14"/>
      <c r="AO32" s="10"/>
      <c r="AP32" s="12" t="s">
        <v>6</v>
      </c>
      <c r="AQ32" s="15">
        <v>0</v>
      </c>
      <c r="AR32" s="14"/>
      <c r="AS32" s="10"/>
      <c r="AT32" s="12" t="s">
        <v>6</v>
      </c>
      <c r="AU32" s="15">
        <v>0</v>
      </c>
      <c r="AV32" s="14"/>
      <c r="AW32" s="10"/>
      <c r="AX32" s="12" t="s">
        <v>6</v>
      </c>
      <c r="AY32" s="15">
        <v>0</v>
      </c>
      <c r="AZ32" s="14"/>
      <c r="BA32" s="51"/>
    </row>
    <row r="33" spans="1:53" ht="15" customHeight="1">
      <c r="A33" s="11"/>
      <c r="B33" s="12" t="s">
        <v>5</v>
      </c>
      <c r="C33" s="13" t="s">
        <v>4</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44" t="s">
        <v>112</v>
      </c>
      <c r="AB33" s="43"/>
      <c r="AC33" s="10"/>
      <c r="AD33" s="12" t="s">
        <v>5</v>
      </c>
      <c r="AE33" s="13" t="s">
        <v>4</v>
      </c>
      <c r="AF33" s="14"/>
      <c r="AG33" s="10"/>
      <c r="AH33" s="12" t="s">
        <v>5</v>
      </c>
      <c r="AI33" s="54" t="s">
        <v>266</v>
      </c>
      <c r="AJ33" s="14"/>
      <c r="AK33" s="10"/>
      <c r="AL33" s="12" t="s">
        <v>5</v>
      </c>
      <c r="AM33" s="13" t="s">
        <v>4</v>
      </c>
      <c r="AN33" s="14"/>
      <c r="AO33" s="10"/>
      <c r="AP33" s="12" t="s">
        <v>5</v>
      </c>
      <c r="AQ33" s="13" t="s">
        <v>4</v>
      </c>
      <c r="AR33" s="14"/>
      <c r="AS33" s="10"/>
      <c r="AT33" s="12" t="s">
        <v>5</v>
      </c>
      <c r="AU33" s="13" t="s">
        <v>4</v>
      </c>
      <c r="AV33" s="14"/>
      <c r="AW33" s="10"/>
      <c r="AX33" s="12" t="s">
        <v>5</v>
      </c>
      <c r="AY33" s="13" t="s">
        <v>4</v>
      </c>
      <c r="AZ33" s="14"/>
      <c r="BA33" s="51"/>
    </row>
    <row r="34" spans="1:53" ht="15" customHeight="1">
      <c r="A34" s="11"/>
      <c r="B34" s="12" t="s">
        <v>11</v>
      </c>
      <c r="C34" s="15" t="s">
        <v>13</v>
      </c>
      <c r="D34" s="43">
        <v>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44" t="s">
        <v>131</v>
      </c>
      <c r="AB34" s="43">
        <v>1999</v>
      </c>
      <c r="AC34" s="10"/>
      <c r="AD34" s="12" t="s">
        <v>11</v>
      </c>
      <c r="AE34" s="15" t="s">
        <v>13</v>
      </c>
      <c r="AF34" s="14">
        <v>0</v>
      </c>
      <c r="AG34" s="10"/>
      <c r="AH34" s="12" t="s">
        <v>11</v>
      </c>
      <c r="AI34" s="54" t="s">
        <v>131</v>
      </c>
      <c r="AJ34" s="43">
        <v>2000</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s="51"/>
    </row>
    <row r="35" spans="1:53" ht="15" customHeight="1">
      <c r="A35" s="11"/>
      <c r="B35" s="12" t="s">
        <v>12</v>
      </c>
      <c r="C35" s="15" t="s">
        <v>13</v>
      </c>
      <c r="D35" s="43">
        <v>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4">
        <v>0</v>
      </c>
      <c r="AC35" s="10"/>
      <c r="AD35" s="12" t="s">
        <v>12</v>
      </c>
      <c r="AE35" s="15" t="s">
        <v>13</v>
      </c>
      <c r="AF35" s="16">
        <v>0</v>
      </c>
      <c r="AG35" s="10"/>
      <c r="AH35" s="12" t="s">
        <v>12</v>
      </c>
      <c r="AI35" s="15" t="s">
        <v>13</v>
      </c>
      <c r="AJ35" s="16">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s="51"/>
    </row>
    <row r="36" spans="1:53" ht="15" customHeight="1">
      <c r="A36" s="11"/>
      <c r="B36" s="12" t="s">
        <v>14</v>
      </c>
      <c r="C36" s="15" t="s">
        <v>13</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s="51"/>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s="51"/>
    </row>
    <row r="38" spans="1:53" ht="15" customHeight="1">
      <c r="A38" s="11"/>
      <c r="B38" s="12" t="s">
        <v>7</v>
      </c>
      <c r="C38" s="44">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44">
        <v>48000</v>
      </c>
      <c r="AB38" s="43"/>
      <c r="AC38" s="10"/>
      <c r="AD38" s="12" t="s">
        <v>7</v>
      </c>
      <c r="AE38" s="13">
        <v>0</v>
      </c>
      <c r="AF38" s="14"/>
      <c r="AG38" s="10"/>
      <c r="AH38" s="12" t="s">
        <v>7</v>
      </c>
      <c r="AI38" s="44">
        <v>67000</v>
      </c>
      <c r="AJ38" s="14"/>
      <c r="AK38" s="10"/>
      <c r="AL38" s="12" t="s">
        <v>7</v>
      </c>
      <c r="AM38" s="13">
        <v>0</v>
      </c>
      <c r="AN38" s="14"/>
      <c r="AO38" s="10"/>
      <c r="AP38" s="12" t="s">
        <v>7</v>
      </c>
      <c r="AQ38" s="13">
        <v>0</v>
      </c>
      <c r="AR38" s="14"/>
      <c r="AS38" s="10"/>
      <c r="AT38" s="12" t="s">
        <v>7</v>
      </c>
      <c r="AU38" s="13">
        <v>0</v>
      </c>
      <c r="AV38" s="14"/>
      <c r="AW38" s="10"/>
      <c r="AX38" s="12" t="s">
        <v>7</v>
      </c>
      <c r="AY38" s="13">
        <v>0</v>
      </c>
      <c r="AZ38" s="14"/>
      <c r="BA38" s="51"/>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44">
        <v>0</v>
      </c>
      <c r="AB39" s="43"/>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s="51"/>
    </row>
    <row r="40" spans="1:53"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44" t="s">
        <v>33</v>
      </c>
      <c r="AB40" s="43"/>
      <c r="AC40" s="10"/>
      <c r="AD40" s="12" t="s">
        <v>5</v>
      </c>
      <c r="AE40" s="13" t="s">
        <v>4</v>
      </c>
      <c r="AF40" s="14"/>
      <c r="AG40" s="10"/>
      <c r="AH40" s="12" t="s">
        <v>5</v>
      </c>
      <c r="AI40" s="54" t="s">
        <v>267</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s="51"/>
    </row>
    <row r="41" spans="1:53" ht="15" customHeight="1">
      <c r="A41" s="11"/>
      <c r="B41" s="12" t="s">
        <v>11</v>
      </c>
      <c r="C41" s="15" t="s">
        <v>13</v>
      </c>
      <c r="D41" s="43">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44" t="s">
        <v>131</v>
      </c>
      <c r="AB41" s="43">
        <v>1999</v>
      </c>
      <c r="AC41" s="10"/>
      <c r="AD41" s="12" t="s">
        <v>11</v>
      </c>
      <c r="AE41" s="15" t="s">
        <v>13</v>
      </c>
      <c r="AF41" s="14">
        <v>0</v>
      </c>
      <c r="AG41" s="10"/>
      <c r="AH41" s="12" t="s">
        <v>11</v>
      </c>
      <c r="AI41" s="54" t="s">
        <v>131</v>
      </c>
      <c r="AJ41" s="55">
        <v>2000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s="51"/>
    </row>
    <row r="42" spans="1:53" ht="15" customHeight="1">
      <c r="A42" s="11"/>
      <c r="B42" s="12" t="s">
        <v>12</v>
      </c>
      <c r="C42" s="15" t="s">
        <v>13</v>
      </c>
      <c r="D42" s="43">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4">
        <v>0</v>
      </c>
      <c r="AC42" s="10"/>
      <c r="AD42" s="12" t="s">
        <v>12</v>
      </c>
      <c r="AE42" s="15" t="s">
        <v>13</v>
      </c>
      <c r="AF42" s="16">
        <v>0</v>
      </c>
      <c r="AG42" s="10"/>
      <c r="AH42" s="12" t="s">
        <v>12</v>
      </c>
      <c r="AI42" s="15" t="s">
        <v>13</v>
      </c>
      <c r="AJ42" s="16">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s="51"/>
    </row>
    <row r="43" spans="1:53" ht="15" customHeight="1">
      <c r="A43" s="11"/>
      <c r="B43" s="12" t="s">
        <v>14</v>
      </c>
      <c r="C43" s="15" t="s">
        <v>13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s="51"/>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s="51"/>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44">
        <v>65000</v>
      </c>
      <c r="AJ45" s="14"/>
      <c r="AK45" s="10"/>
      <c r="AL45" s="12" t="s">
        <v>7</v>
      </c>
      <c r="AM45" s="13">
        <v>0</v>
      </c>
      <c r="AN45" s="14"/>
      <c r="AO45" s="10"/>
      <c r="AP45" s="12" t="s">
        <v>7</v>
      </c>
      <c r="AQ45" s="13">
        <v>0</v>
      </c>
      <c r="AR45" s="14"/>
      <c r="AS45" s="10"/>
      <c r="AT45" s="12" t="s">
        <v>7</v>
      </c>
      <c r="AU45" s="13">
        <v>0</v>
      </c>
      <c r="AV45" s="14"/>
      <c r="AW45" s="10"/>
      <c r="AX45" s="12" t="s">
        <v>7</v>
      </c>
      <c r="AY45" s="13">
        <v>0</v>
      </c>
      <c r="AZ45" s="14"/>
      <c r="BA45" s="51"/>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s="51"/>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54" t="s">
        <v>269</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s="51"/>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54" t="s">
        <v>131</v>
      </c>
      <c r="AJ48" s="43">
        <v>2000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s="51"/>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6">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s="51"/>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s="51"/>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s="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13">
        <v>0</v>
      </c>
      <c r="AJ52" s="14"/>
      <c r="AK52" s="10"/>
      <c r="AL52" s="12" t="s">
        <v>7</v>
      </c>
      <c r="AM52" s="13">
        <v>0</v>
      </c>
      <c r="AN52" s="14"/>
      <c r="AO52" s="10"/>
      <c r="AP52" s="12" t="s">
        <v>7</v>
      </c>
      <c r="AQ52" s="13">
        <v>0</v>
      </c>
      <c r="AR52" s="14"/>
      <c r="AS52" s="10"/>
      <c r="AT52" s="12" t="s">
        <v>7</v>
      </c>
      <c r="AU52" s="13">
        <v>0</v>
      </c>
      <c r="AV52" s="14"/>
      <c r="AW52" s="10"/>
      <c r="AX52" s="12" t="s">
        <v>7</v>
      </c>
      <c r="AY52" s="13">
        <v>0</v>
      </c>
      <c r="AZ52" s="14"/>
      <c r="BA52" s="51"/>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s="51"/>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13" t="s">
        <v>4</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s="51"/>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15" t="s">
        <v>13</v>
      </c>
      <c r="AJ55" s="14">
        <v>0</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s="51"/>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s="51"/>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s="51"/>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s="51"/>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s="51"/>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s="51"/>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s="5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s="51"/>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s="51"/>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s="51"/>
    </row>
    <row r="65" spans="1:53"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s="51"/>
    </row>
    <row r="66" spans="1:53"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s="51"/>
    </row>
    <row r="67" spans="1:53"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s="51"/>
    </row>
    <row r="68" spans="1:53"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s="51"/>
    </row>
    <row r="69" spans="1:53"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s="51"/>
    </row>
    <row r="70" spans="1:53"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s="51"/>
    </row>
    <row r="71" spans="1:53"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s="51"/>
    </row>
    <row r="72" spans="1:53"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s="51"/>
    </row>
    <row r="73" spans="1:53" ht="15" customHeight="1">
      <c r="A73" s="11"/>
      <c r="B73" s="22" t="s">
        <v>8</v>
      </c>
      <c r="C73" s="23">
        <v>200</v>
      </c>
      <c r="D73" s="24"/>
      <c r="E73" s="25"/>
      <c r="F73" s="22" t="s">
        <v>8</v>
      </c>
      <c r="G73" s="23">
        <v>1000</v>
      </c>
      <c r="H73" s="24"/>
      <c r="I73" s="25"/>
      <c r="J73" s="22" t="s">
        <v>8</v>
      </c>
      <c r="K73" s="23">
        <v>1000</v>
      </c>
      <c r="L73" s="24"/>
      <c r="M73" s="25"/>
      <c r="N73" s="22" t="s">
        <v>8</v>
      </c>
      <c r="O73" s="23">
        <v>2000</v>
      </c>
      <c r="P73" s="24"/>
      <c r="Q73" s="25"/>
      <c r="R73" s="22" t="s">
        <v>8</v>
      </c>
      <c r="S73" s="23">
        <v>0</v>
      </c>
      <c r="T73" s="24"/>
      <c r="U73" s="25"/>
      <c r="V73" s="22" t="s">
        <v>8</v>
      </c>
      <c r="W73" s="23">
        <v>5000</v>
      </c>
      <c r="X73" s="24"/>
      <c r="Y73" s="25"/>
      <c r="Z73" s="22" t="s">
        <v>8</v>
      </c>
      <c r="AA73" s="23">
        <v>1000</v>
      </c>
      <c r="AB73" s="24"/>
      <c r="AC73" s="25"/>
      <c r="AD73" s="22" t="s">
        <v>8</v>
      </c>
      <c r="AE73" s="23">
        <v>1000</v>
      </c>
      <c r="AF73" s="24"/>
      <c r="AG73" s="25"/>
      <c r="AH73" s="22" t="s">
        <v>8</v>
      </c>
      <c r="AI73" s="23">
        <v>1000</v>
      </c>
      <c r="AJ73" s="24"/>
      <c r="AK73" s="25"/>
      <c r="AL73" s="22" t="s">
        <v>8</v>
      </c>
      <c r="AM73" s="23">
        <v>0</v>
      </c>
      <c r="AN73" s="24"/>
      <c r="AO73" s="25"/>
      <c r="AP73" s="22" t="s">
        <v>8</v>
      </c>
      <c r="AQ73" s="23">
        <v>0</v>
      </c>
      <c r="AR73" s="24"/>
      <c r="AS73" s="25"/>
      <c r="AT73" s="22" t="s">
        <v>8</v>
      </c>
      <c r="AU73" s="23">
        <v>0</v>
      </c>
      <c r="AV73" s="24"/>
      <c r="AW73" s="25"/>
      <c r="AX73" s="22" t="s">
        <v>8</v>
      </c>
      <c r="AY73" s="23">
        <v>0</v>
      </c>
      <c r="AZ73" s="24"/>
      <c r="BA73" s="51"/>
    </row>
    <row r="74" spans="1:53"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1</v>
      </c>
      <c r="X74" s="28"/>
      <c r="Y74" s="25"/>
      <c r="Z74" s="26" t="s">
        <v>10</v>
      </c>
      <c r="AA74" s="45">
        <v>1</v>
      </c>
      <c r="AB74" s="28"/>
      <c r="AC74" s="25"/>
      <c r="AD74" s="26" t="s">
        <v>10</v>
      </c>
      <c r="AE74" s="27">
        <v>1</v>
      </c>
      <c r="AF74" s="28"/>
      <c r="AG74" s="25"/>
      <c r="AH74" s="26" t="s">
        <v>10</v>
      </c>
      <c r="AI74" s="45">
        <v>1</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s="51"/>
    </row>
    <row r="75" spans="1:53" s="32" customFormat="1" ht="15.7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22</v>
      </c>
      <c r="AN75" s="28"/>
      <c r="AO75" s="31"/>
      <c r="AP75" s="26" t="s">
        <v>18</v>
      </c>
      <c r="AQ75" s="27" t="s">
        <v>22</v>
      </c>
      <c r="AR75" s="28"/>
      <c r="AS75" s="31"/>
      <c r="AT75" s="26" t="s">
        <v>18</v>
      </c>
      <c r="AU75" s="27" t="s">
        <v>22</v>
      </c>
      <c r="AV75" s="28"/>
      <c r="AW75" s="31"/>
      <c r="AX75" s="26" t="s">
        <v>18</v>
      </c>
      <c r="AY75" s="27" t="s">
        <v>22</v>
      </c>
      <c r="AZ75" s="28"/>
      <c r="BA75" s="51"/>
    </row>
    <row r="76" spans="1:53" s="7" customFormat="1" ht="15.75">
      <c r="A76" s="51"/>
      <c r="B76" s="51"/>
      <c r="C76" s="51"/>
      <c r="D76" s="51"/>
      <c r="E76" s="51"/>
      <c r="F76" s="51"/>
      <c r="G76" s="51"/>
      <c r="H76" s="51"/>
      <c r="I76" s="5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row>
    <row r="77" spans="1:53" s="7" customFormat="1" ht="15.75">
      <c r="A77" s="51"/>
      <c r="B77" s="35" t="s">
        <v>119</v>
      </c>
      <c r="C77" s="36" t="s">
        <v>68</v>
      </c>
      <c r="D77" s="4" t="s">
        <v>36</v>
      </c>
      <c r="E77" s="51"/>
      <c r="F77" s="35" t="s">
        <v>119</v>
      </c>
      <c r="G77" s="36" t="s">
        <v>132</v>
      </c>
      <c r="H77" s="4" t="s">
        <v>36</v>
      </c>
      <c r="I77" s="51"/>
      <c r="J77" s="35" t="s">
        <v>5</v>
      </c>
      <c r="K77" s="47" t="s">
        <v>33</v>
      </c>
      <c r="L77" s="48" t="s">
        <v>36</v>
      </c>
      <c r="M77" s="51"/>
      <c r="N77" s="35" t="s">
        <v>5</v>
      </c>
      <c r="O77" s="36" t="s">
        <v>19</v>
      </c>
      <c r="P77" s="4" t="s">
        <v>37</v>
      </c>
      <c r="Q77" s="51"/>
      <c r="R77" s="35" t="s">
        <v>5</v>
      </c>
      <c r="S77" s="36" t="s">
        <v>51</v>
      </c>
      <c r="T77" s="4" t="s">
        <v>36</v>
      </c>
      <c r="U77" s="51"/>
      <c r="V77" s="35" t="s">
        <v>5</v>
      </c>
      <c r="W77" s="36" t="s">
        <v>52</v>
      </c>
      <c r="X77" s="48" t="s">
        <v>37</v>
      </c>
      <c r="Y77" s="51"/>
      <c r="Z77" s="35" t="s">
        <v>5</v>
      </c>
      <c r="AA77" s="36" t="s">
        <v>53</v>
      </c>
      <c r="AB77" s="48" t="s">
        <v>37</v>
      </c>
      <c r="AC77" s="51"/>
      <c r="AD77" s="35" t="s">
        <v>5</v>
      </c>
      <c r="AE77" s="36" t="s">
        <v>143</v>
      </c>
      <c r="AF77" s="4" t="s">
        <v>37</v>
      </c>
      <c r="AG77" s="51"/>
      <c r="AH77" s="35" t="s">
        <v>5</v>
      </c>
      <c r="AI77" s="36" t="s">
        <v>144</v>
      </c>
      <c r="AJ77" s="4" t="s">
        <v>36</v>
      </c>
      <c r="AK77" s="51"/>
      <c r="AL77" s="35" t="s">
        <v>5</v>
      </c>
      <c r="AM77" s="36" t="s">
        <v>145</v>
      </c>
      <c r="AN77" s="4" t="s">
        <v>37</v>
      </c>
      <c r="AO77" s="51"/>
      <c r="AP77" s="35" t="s">
        <v>5</v>
      </c>
      <c r="AQ77" s="36" t="s">
        <v>145</v>
      </c>
      <c r="AR77" s="4" t="s">
        <v>37</v>
      </c>
      <c r="AS77" s="51"/>
      <c r="AT77" s="35" t="s">
        <v>5</v>
      </c>
      <c r="AU77" s="36" t="s">
        <v>145</v>
      </c>
      <c r="AV77" s="4" t="s">
        <v>37</v>
      </c>
      <c r="AW77" s="51"/>
      <c r="AX77" s="35" t="s">
        <v>5</v>
      </c>
      <c r="AY77" s="47" t="s">
        <v>193</v>
      </c>
      <c r="AZ77" s="48" t="s">
        <v>36</v>
      </c>
      <c r="BA77" s="51"/>
    </row>
    <row r="78" spans="1:53" s="7" customFormat="1" ht="15.75">
      <c r="A78" s="51"/>
      <c r="B78" s="35" t="s">
        <v>38</v>
      </c>
      <c r="C78" s="36" t="s">
        <v>126</v>
      </c>
      <c r="D78" s="38" t="s">
        <v>120</v>
      </c>
      <c r="E78" s="51"/>
      <c r="F78" s="35" t="s">
        <v>38</v>
      </c>
      <c r="G78" s="36" t="s">
        <v>126</v>
      </c>
      <c r="H78" s="38" t="s">
        <v>120</v>
      </c>
      <c r="I78" s="51"/>
      <c r="J78" s="35" t="s">
        <v>38</v>
      </c>
      <c r="K78" s="47" t="s">
        <v>42</v>
      </c>
      <c r="L78" s="47">
        <v>0</v>
      </c>
      <c r="M78" s="51"/>
      <c r="N78" s="35" t="s">
        <v>38</v>
      </c>
      <c r="O78" s="36" t="s">
        <v>43</v>
      </c>
      <c r="P78" s="38">
        <v>15</v>
      </c>
      <c r="Q78" s="51"/>
      <c r="R78" s="35" t="s">
        <v>38</v>
      </c>
      <c r="S78" s="36" t="s">
        <v>62</v>
      </c>
      <c r="T78" s="38" t="s">
        <v>63</v>
      </c>
      <c r="U78" s="51"/>
      <c r="V78" s="35" t="s">
        <v>38</v>
      </c>
      <c r="W78" s="36" t="s">
        <v>62</v>
      </c>
      <c r="X78" s="38" t="s">
        <v>64</v>
      </c>
      <c r="Y78" s="51"/>
      <c r="Z78" s="35" t="s">
        <v>38</v>
      </c>
      <c r="AA78" s="36" t="s">
        <v>62</v>
      </c>
      <c r="AB78" s="38" t="s">
        <v>65</v>
      </c>
      <c r="AC78" s="51"/>
      <c r="AD78" s="35" t="s">
        <v>38</v>
      </c>
      <c r="AE78" s="36" t="s">
        <v>43</v>
      </c>
      <c r="AF78" s="38" t="s">
        <v>146</v>
      </c>
      <c r="AG78" s="51"/>
      <c r="AH78" s="35" t="s">
        <v>38</v>
      </c>
      <c r="AI78" s="36" t="s">
        <v>42</v>
      </c>
      <c r="AJ78" s="36">
        <v>0</v>
      </c>
      <c r="AK78" s="51"/>
      <c r="AL78" s="35" t="s">
        <v>38</v>
      </c>
      <c r="AM78" s="36" t="s">
        <v>147</v>
      </c>
      <c r="AN78" s="36">
        <v>1</v>
      </c>
      <c r="AO78" s="51"/>
      <c r="AP78" s="35" t="s">
        <v>38</v>
      </c>
      <c r="AQ78" s="36" t="s">
        <v>147</v>
      </c>
      <c r="AR78" s="36">
        <v>2</v>
      </c>
      <c r="AS78" s="51"/>
      <c r="AT78" s="35" t="s">
        <v>38</v>
      </c>
      <c r="AU78" s="36" t="s">
        <v>147</v>
      </c>
      <c r="AV78" s="36">
        <v>3</v>
      </c>
      <c r="AW78" s="51"/>
      <c r="AX78" s="35" t="s">
        <v>38</v>
      </c>
      <c r="AY78" s="47" t="s">
        <v>194</v>
      </c>
      <c r="AZ78" s="49" t="s">
        <v>65</v>
      </c>
      <c r="BA78" s="51"/>
    </row>
    <row r="79" spans="1:53" s="7" customFormat="1" ht="15.75">
      <c r="A79" s="51"/>
      <c r="B79" s="35" t="s">
        <v>38</v>
      </c>
      <c r="C79" s="36" t="s">
        <v>125</v>
      </c>
      <c r="D79" s="38" t="s">
        <v>134</v>
      </c>
      <c r="E79" s="51"/>
      <c r="F79" s="35" t="s">
        <v>38</v>
      </c>
      <c r="G79" s="36" t="s">
        <v>125</v>
      </c>
      <c r="H79" s="38" t="s">
        <v>134</v>
      </c>
      <c r="I79" s="51"/>
      <c r="J79" s="35" t="s">
        <v>38</v>
      </c>
      <c r="K79" s="47" t="s">
        <v>39</v>
      </c>
      <c r="L79" s="47">
        <v>2000</v>
      </c>
      <c r="M79" s="51"/>
      <c r="N79" s="35" t="s">
        <v>38</v>
      </c>
      <c r="O79" s="36" t="s">
        <v>44</v>
      </c>
      <c r="P79" s="38" t="s">
        <v>45</v>
      </c>
      <c r="Q79" s="51"/>
      <c r="R79" s="35" t="s">
        <v>38</v>
      </c>
      <c r="S79" s="36" t="s">
        <v>54</v>
      </c>
      <c r="T79" s="49" t="s">
        <v>235</v>
      </c>
      <c r="U79" s="51"/>
      <c r="V79" s="35" t="s">
        <v>38</v>
      </c>
      <c r="W79" s="36" t="s">
        <v>54</v>
      </c>
      <c r="X79" s="38" t="s">
        <v>115</v>
      </c>
      <c r="Y79" s="51"/>
      <c r="Z79" s="35" t="s">
        <v>38</v>
      </c>
      <c r="AA79" s="36" t="s">
        <v>54</v>
      </c>
      <c r="AB79" s="38" t="s">
        <v>118</v>
      </c>
      <c r="AC79" s="51"/>
      <c r="AD79" s="35" t="s">
        <v>38</v>
      </c>
      <c r="AE79" s="36" t="s">
        <v>148</v>
      </c>
      <c r="AF79" s="38" t="s">
        <v>64</v>
      </c>
      <c r="AG79" s="51"/>
      <c r="AH79" s="35" t="s">
        <v>38</v>
      </c>
      <c r="AI79" s="36" t="s">
        <v>149</v>
      </c>
      <c r="AJ79" s="47">
        <v>400</v>
      </c>
      <c r="AK79" s="51"/>
      <c r="AL79" s="35" t="s">
        <v>38</v>
      </c>
      <c r="AM79" s="36" t="s">
        <v>150</v>
      </c>
      <c r="AN79" s="36">
        <v>1200</v>
      </c>
      <c r="AO79" s="51"/>
      <c r="AP79" s="35" t="s">
        <v>38</v>
      </c>
      <c r="AQ79" s="36" t="s">
        <v>150</v>
      </c>
      <c r="AR79" s="36">
        <v>600</v>
      </c>
      <c r="AS79" s="51"/>
      <c r="AT79" s="35" t="s">
        <v>38</v>
      </c>
      <c r="AU79" s="36" t="s">
        <v>150</v>
      </c>
      <c r="AV79" s="36">
        <v>300</v>
      </c>
      <c r="AW79" s="51"/>
      <c r="AX79" s="35" t="s">
        <v>38</v>
      </c>
      <c r="AY79" s="47" t="s">
        <v>195</v>
      </c>
      <c r="AZ79" s="49" t="s">
        <v>196</v>
      </c>
      <c r="BA79" s="51"/>
    </row>
    <row r="80" spans="1:53" s="7" customFormat="1" ht="15.75">
      <c r="A80" s="51"/>
      <c r="B80" s="35" t="s">
        <v>38</v>
      </c>
      <c r="C80" s="36" t="s">
        <v>126</v>
      </c>
      <c r="D80" s="38" t="s">
        <v>121</v>
      </c>
      <c r="E80" s="51"/>
      <c r="F80" s="35" t="s">
        <v>38</v>
      </c>
      <c r="G80" s="36" t="s">
        <v>126</v>
      </c>
      <c r="H80" s="38" t="s">
        <v>121</v>
      </c>
      <c r="I80" s="51"/>
      <c r="J80" s="35" t="s">
        <v>38</v>
      </c>
      <c r="K80" s="47" t="s">
        <v>40</v>
      </c>
      <c r="L80" s="47">
        <v>1000</v>
      </c>
      <c r="M80" s="51"/>
      <c r="N80" s="35" t="s">
        <v>38</v>
      </c>
      <c r="O80" s="36" t="s">
        <v>46</v>
      </c>
      <c r="P80" s="38" t="s">
        <v>47</v>
      </c>
      <c r="Q80" s="51"/>
      <c r="R80" s="35" t="s">
        <v>38</v>
      </c>
      <c r="S80" s="36" t="s">
        <v>67</v>
      </c>
      <c r="T80" s="38" t="s">
        <v>260</v>
      </c>
      <c r="U80" s="51"/>
      <c r="V80" s="35" t="s">
        <v>38</v>
      </c>
      <c r="W80" s="36" t="s">
        <v>67</v>
      </c>
      <c r="X80" s="38" t="s">
        <v>117</v>
      </c>
      <c r="Y80" s="51"/>
      <c r="Z80" s="35" t="s">
        <v>38</v>
      </c>
      <c r="AA80" s="36" t="s">
        <v>67</v>
      </c>
      <c r="AB80" s="38" t="s">
        <v>117</v>
      </c>
      <c r="AC80" s="51"/>
      <c r="AD80" s="35" t="s">
        <v>38</v>
      </c>
      <c r="AE80" s="36" t="s">
        <v>46</v>
      </c>
      <c r="AF80" s="38" t="s">
        <v>142</v>
      </c>
      <c r="AG80" s="51"/>
      <c r="AH80" s="35" t="s">
        <v>38</v>
      </c>
      <c r="AI80" s="36" t="s">
        <v>151</v>
      </c>
      <c r="AJ80" s="47">
        <v>100</v>
      </c>
      <c r="AK80" s="51"/>
      <c r="AL80" s="35" t="s">
        <v>38</v>
      </c>
      <c r="AM80" s="36" t="s">
        <v>152</v>
      </c>
      <c r="AN80" s="36">
        <v>300</v>
      </c>
      <c r="AO80" s="51"/>
      <c r="AP80" s="35" t="s">
        <v>38</v>
      </c>
      <c r="AQ80" s="36" t="s">
        <v>152</v>
      </c>
      <c r="AR80" s="36">
        <v>300</v>
      </c>
      <c r="AS80" s="51"/>
      <c r="AT80" s="35" t="s">
        <v>38</v>
      </c>
      <c r="AU80" s="36" t="s">
        <v>152</v>
      </c>
      <c r="AV80" s="36">
        <v>300</v>
      </c>
      <c r="AW80" s="51"/>
      <c r="AX80" s="35" t="s">
        <v>38</v>
      </c>
      <c r="AY80" s="47" t="s">
        <v>197</v>
      </c>
      <c r="AZ80" s="49" t="s">
        <v>245</v>
      </c>
      <c r="BA80" s="51"/>
    </row>
    <row r="81" spans="1:53" s="7" customFormat="1" ht="15.75">
      <c r="A81" s="51"/>
      <c r="B81" s="35" t="s">
        <v>38</v>
      </c>
      <c r="C81" s="36" t="s">
        <v>125</v>
      </c>
      <c r="D81" s="38" t="s">
        <v>122</v>
      </c>
      <c r="E81" s="51"/>
      <c r="F81" s="35" t="s">
        <v>38</v>
      </c>
      <c r="G81" s="36" t="s">
        <v>125</v>
      </c>
      <c r="H81" s="38" t="s">
        <v>122</v>
      </c>
      <c r="I81" s="51"/>
      <c r="J81" s="35" t="s">
        <v>38</v>
      </c>
      <c r="K81" s="47" t="s">
        <v>41</v>
      </c>
      <c r="L81" s="47">
        <v>500</v>
      </c>
      <c r="M81" s="51"/>
      <c r="N81" s="35" t="s">
        <v>38</v>
      </c>
      <c r="O81" s="36" t="s">
        <v>48</v>
      </c>
      <c r="P81" s="38" t="s">
        <v>49</v>
      </c>
      <c r="Q81" s="51"/>
      <c r="R81" s="35" t="s">
        <v>38</v>
      </c>
      <c r="S81" s="36" t="s">
        <v>66</v>
      </c>
      <c r="T81" s="38" t="s">
        <v>259</v>
      </c>
      <c r="U81" s="51"/>
      <c r="V81" s="35" t="s">
        <v>38</v>
      </c>
      <c r="W81" s="36" t="s">
        <v>66</v>
      </c>
      <c r="X81" s="38" t="s">
        <v>142</v>
      </c>
      <c r="Y81" s="51"/>
      <c r="Z81" s="35" t="s">
        <v>38</v>
      </c>
      <c r="AA81" s="36" t="s">
        <v>66</v>
      </c>
      <c r="AB81" s="38" t="s">
        <v>142</v>
      </c>
      <c r="AC81" s="51"/>
      <c r="AD81" s="35" t="s">
        <v>38</v>
      </c>
      <c r="AE81" s="36" t="s">
        <v>153</v>
      </c>
      <c r="AF81" s="38" t="s">
        <v>64</v>
      </c>
      <c r="AG81" s="51"/>
      <c r="AH81" s="35" t="s">
        <v>38</v>
      </c>
      <c r="AI81" s="36" t="s">
        <v>154</v>
      </c>
      <c r="AJ81" s="47">
        <v>100</v>
      </c>
      <c r="AK81" s="51"/>
      <c r="AL81" s="51"/>
      <c r="AM81" s="51"/>
      <c r="AN81" s="51"/>
      <c r="AO81" s="51"/>
      <c r="AP81" s="51"/>
      <c r="AQ81" s="51"/>
      <c r="AR81" s="51"/>
      <c r="AS81" s="51"/>
      <c r="AT81" s="51"/>
      <c r="AU81" s="51"/>
      <c r="AV81" s="51"/>
      <c r="AW81" s="51"/>
      <c r="AX81" s="35" t="s">
        <v>38</v>
      </c>
      <c r="AY81" s="47" t="s">
        <v>198</v>
      </c>
      <c r="AZ81" s="49" t="s">
        <v>247</v>
      </c>
      <c r="BA81" s="51"/>
    </row>
    <row r="82" spans="1:53" s="7" customFormat="1" ht="15.75">
      <c r="A82" s="51"/>
      <c r="B82" s="35" t="s">
        <v>38</v>
      </c>
      <c r="C82" s="36" t="s">
        <v>126</v>
      </c>
      <c r="D82" s="38" t="s">
        <v>123</v>
      </c>
      <c r="E82" s="51"/>
      <c r="F82" s="35" t="s">
        <v>38</v>
      </c>
      <c r="G82" s="36" t="s">
        <v>126</v>
      </c>
      <c r="H82" s="38" t="s">
        <v>123</v>
      </c>
      <c r="I82" s="51"/>
      <c r="J82" s="51"/>
      <c r="K82" s="51"/>
      <c r="L82" s="51"/>
      <c r="M82" s="51"/>
      <c r="N82" s="35" t="s">
        <v>38</v>
      </c>
      <c r="O82" s="36" t="s">
        <v>50</v>
      </c>
      <c r="P82" s="38" t="s">
        <v>47</v>
      </c>
      <c r="Q82" s="51"/>
      <c r="R82" s="35" t="s">
        <v>38</v>
      </c>
      <c r="S82" s="36" t="s">
        <v>57</v>
      </c>
      <c r="T82" s="38" t="s">
        <v>227</v>
      </c>
      <c r="U82" s="51"/>
      <c r="V82" s="35" t="s">
        <v>38</v>
      </c>
      <c r="W82" s="36" t="s">
        <v>57</v>
      </c>
      <c r="X82" s="38" t="s">
        <v>58</v>
      </c>
      <c r="Y82" s="51"/>
      <c r="Z82" s="35" t="s">
        <v>38</v>
      </c>
      <c r="AA82" s="36" t="s">
        <v>57</v>
      </c>
      <c r="AB82" s="38" t="s">
        <v>58</v>
      </c>
      <c r="AC82" s="51"/>
      <c r="AD82" s="35" t="s">
        <v>38</v>
      </c>
      <c r="AE82" s="36" t="s">
        <v>50</v>
      </c>
      <c r="AF82" s="38" t="s">
        <v>136</v>
      </c>
      <c r="AG82" s="51"/>
      <c r="AH82" s="35" t="s">
        <v>38</v>
      </c>
      <c r="AI82" s="36" t="s">
        <v>155</v>
      </c>
      <c r="AJ82" s="47">
        <v>200</v>
      </c>
      <c r="AK82" s="51"/>
      <c r="AL82" s="51"/>
      <c r="AM82" s="51"/>
      <c r="AN82" s="51"/>
      <c r="AO82" s="51"/>
      <c r="AP82" s="51"/>
      <c r="AQ82" s="51"/>
      <c r="AR82" s="51"/>
      <c r="AS82" s="51"/>
      <c r="AT82" s="51"/>
      <c r="AU82" s="51"/>
      <c r="AV82" s="51"/>
      <c r="AW82" s="51"/>
      <c r="AX82" s="35" t="s">
        <v>38</v>
      </c>
      <c r="AY82" s="47" t="s">
        <v>237</v>
      </c>
      <c r="AZ82" s="49" t="s">
        <v>244</v>
      </c>
      <c r="BA82" s="51"/>
    </row>
    <row r="83" spans="1:53" s="7" customFormat="1" ht="15.75">
      <c r="A83" s="51"/>
      <c r="B83" s="35" t="s">
        <v>38</v>
      </c>
      <c r="C83" s="36" t="s">
        <v>125</v>
      </c>
      <c r="D83" s="38" t="s">
        <v>135</v>
      </c>
      <c r="E83" s="51"/>
      <c r="F83" s="35" t="s">
        <v>38</v>
      </c>
      <c r="G83" s="36" t="s">
        <v>125</v>
      </c>
      <c r="H83" s="38" t="s">
        <v>135</v>
      </c>
      <c r="I83" s="51"/>
      <c r="J83" s="51"/>
      <c r="K83" s="51"/>
      <c r="L83" s="51"/>
      <c r="M83" s="51"/>
      <c r="N83" s="51"/>
      <c r="O83" s="51"/>
      <c r="P83" s="51"/>
      <c r="Q83" s="51"/>
      <c r="R83" s="35" t="s">
        <v>38</v>
      </c>
      <c r="S83" s="36" t="s">
        <v>55</v>
      </c>
      <c r="T83" s="49" t="s">
        <v>250</v>
      </c>
      <c r="U83" s="51"/>
      <c r="V83" s="35" t="s">
        <v>38</v>
      </c>
      <c r="W83" s="36" t="s">
        <v>55</v>
      </c>
      <c r="X83" s="38" t="s">
        <v>239</v>
      </c>
      <c r="Y83" s="51"/>
      <c r="Z83" s="35" t="s">
        <v>38</v>
      </c>
      <c r="AA83" s="36" t="s">
        <v>55</v>
      </c>
      <c r="AB83" s="38" t="s">
        <v>239</v>
      </c>
      <c r="AC83" s="51"/>
      <c r="AD83" s="35" t="s">
        <v>38</v>
      </c>
      <c r="AE83" s="36" t="s">
        <v>156</v>
      </c>
      <c r="AF83" s="38" t="s">
        <v>64</v>
      </c>
      <c r="AG83" s="51"/>
      <c r="AH83" s="35" t="s">
        <v>38</v>
      </c>
      <c r="AI83" s="36" t="s">
        <v>157</v>
      </c>
      <c r="AJ83" s="47">
        <v>100</v>
      </c>
      <c r="AK83" s="51"/>
      <c r="AL83" s="51"/>
      <c r="AM83" s="51"/>
      <c r="AN83" s="51"/>
      <c r="AO83" s="51"/>
      <c r="AP83" s="51"/>
      <c r="AQ83" s="51"/>
      <c r="AR83" s="51"/>
      <c r="AS83" s="51"/>
      <c r="AT83" s="51"/>
      <c r="AU83" s="51"/>
      <c r="AV83" s="51"/>
      <c r="AW83" s="51"/>
      <c r="AX83" s="35" t="s">
        <v>38</v>
      </c>
      <c r="AY83" s="47" t="s">
        <v>199</v>
      </c>
      <c r="AZ83" s="49" t="s">
        <v>240</v>
      </c>
      <c r="BA83" s="51"/>
    </row>
    <row r="84" spans="1:53" s="7" customFormat="1" ht="15.75">
      <c r="A84" s="51"/>
      <c r="B84" s="35" t="s">
        <v>38</v>
      </c>
      <c r="C84" s="36" t="s">
        <v>126</v>
      </c>
      <c r="D84" s="38" t="s">
        <v>124</v>
      </c>
      <c r="E84" s="51"/>
      <c r="F84" s="35" t="s">
        <v>38</v>
      </c>
      <c r="G84" s="36" t="s">
        <v>126</v>
      </c>
      <c r="H84" s="38" t="s">
        <v>124</v>
      </c>
      <c r="I84" s="51"/>
      <c r="J84" s="51"/>
      <c r="K84" s="51"/>
      <c r="L84" s="51"/>
      <c r="M84" s="51"/>
      <c r="N84" s="51"/>
      <c r="O84" s="51"/>
      <c r="P84" s="51"/>
      <c r="Q84" s="51"/>
      <c r="R84" s="35" t="s">
        <v>38</v>
      </c>
      <c r="S84" s="36" t="s">
        <v>56</v>
      </c>
      <c r="T84" s="49" t="s">
        <v>137</v>
      </c>
      <c r="U84" s="51"/>
      <c r="V84" s="35" t="s">
        <v>38</v>
      </c>
      <c r="W84" s="36" t="s">
        <v>56</v>
      </c>
      <c r="X84" s="38" t="s">
        <v>241</v>
      </c>
      <c r="Y84" s="51"/>
      <c r="Z84" s="35" t="s">
        <v>38</v>
      </c>
      <c r="AA84" s="36" t="s">
        <v>56</v>
      </c>
      <c r="AB84" s="38" t="s">
        <v>241</v>
      </c>
      <c r="AC84" s="51"/>
      <c r="AD84" s="35" t="s">
        <v>38</v>
      </c>
      <c r="AE84" s="36" t="s">
        <v>158</v>
      </c>
      <c r="AF84" s="38" t="s">
        <v>159</v>
      </c>
      <c r="AG84" s="51"/>
      <c r="AH84" s="35" t="s">
        <v>38</v>
      </c>
      <c r="AI84" s="36" t="s">
        <v>160</v>
      </c>
      <c r="AJ84" s="47">
        <v>800</v>
      </c>
      <c r="AK84" s="51"/>
      <c r="AL84" s="51"/>
      <c r="AM84" s="51"/>
      <c r="AN84" s="51"/>
      <c r="AO84" s="51"/>
      <c r="AP84" s="51"/>
      <c r="AQ84" s="51"/>
      <c r="AR84" s="51"/>
      <c r="AS84" s="51"/>
      <c r="AT84" s="51"/>
      <c r="AU84" s="51"/>
      <c r="AV84" s="51"/>
      <c r="AW84" s="51"/>
      <c r="AX84" s="35" t="s">
        <v>38</v>
      </c>
      <c r="AY84" s="47" t="s">
        <v>200</v>
      </c>
      <c r="AZ84" s="49" t="s">
        <v>264</v>
      </c>
      <c r="BA84" s="51"/>
    </row>
    <row r="85" spans="1:53" s="7" customFormat="1" ht="15.75">
      <c r="A85" s="51"/>
      <c r="B85" s="35" t="s">
        <v>38</v>
      </c>
      <c r="C85" s="36" t="s">
        <v>125</v>
      </c>
      <c r="D85" s="38" t="s">
        <v>136</v>
      </c>
      <c r="E85" s="51"/>
      <c r="F85" s="35" t="s">
        <v>38</v>
      </c>
      <c r="G85" s="36" t="s">
        <v>125</v>
      </c>
      <c r="H85" s="38" t="s">
        <v>136</v>
      </c>
      <c r="I85" s="51"/>
      <c r="J85" s="51"/>
      <c r="K85" s="51"/>
      <c r="L85" s="51"/>
      <c r="M85" s="51"/>
      <c r="N85" s="51"/>
      <c r="O85" s="51"/>
      <c r="P85" s="51"/>
      <c r="Q85" s="51"/>
      <c r="R85" s="35" t="s">
        <v>38</v>
      </c>
      <c r="S85" s="36" t="s">
        <v>59</v>
      </c>
      <c r="T85" s="49" t="s">
        <v>243</v>
      </c>
      <c r="U85" s="51"/>
      <c r="V85" s="35" t="s">
        <v>38</v>
      </c>
      <c r="W85" s="36" t="s">
        <v>59</v>
      </c>
      <c r="X85" s="38" t="s">
        <v>141</v>
      </c>
      <c r="Y85" s="51"/>
      <c r="Z85" s="35" t="s">
        <v>38</v>
      </c>
      <c r="AA85" s="36" t="s">
        <v>59</v>
      </c>
      <c r="AB85" s="38" t="s">
        <v>141</v>
      </c>
      <c r="AC85" s="51"/>
      <c r="AD85" s="51"/>
      <c r="AE85" s="51"/>
      <c r="AF85" s="51"/>
      <c r="AG85" s="51"/>
      <c r="AH85" s="35" t="s">
        <v>38</v>
      </c>
      <c r="AI85" s="36" t="s">
        <v>255</v>
      </c>
      <c r="AJ85" s="47">
        <v>100</v>
      </c>
      <c r="AK85" s="51"/>
      <c r="AL85" s="51"/>
      <c r="AM85" s="51"/>
      <c r="AN85" s="51"/>
      <c r="AO85" s="51"/>
      <c r="AP85" s="51"/>
      <c r="AQ85" s="51"/>
      <c r="AR85" s="51"/>
      <c r="AS85" s="51"/>
      <c r="AT85" s="51"/>
      <c r="AU85" s="51"/>
      <c r="AV85" s="51"/>
      <c r="AW85" s="51"/>
      <c r="AX85" s="35" t="s">
        <v>38</v>
      </c>
      <c r="AY85" s="47" t="s">
        <v>201</v>
      </c>
      <c r="AZ85" s="52">
        <f>ROUND(AZ80+AZ86*AZ82/1000, 0)</f>
        <v>212483</v>
      </c>
      <c r="BA85" s="51"/>
    </row>
    <row r="86" spans="1:53" s="7" customFormat="1" ht="15.75">
      <c r="A86" s="51"/>
      <c r="B86" s="41" t="s">
        <v>38</v>
      </c>
      <c r="C86" s="42" t="s">
        <v>127</v>
      </c>
      <c r="D86" s="38" t="s">
        <v>63</v>
      </c>
      <c r="E86" s="51"/>
      <c r="F86" s="41" t="s">
        <v>38</v>
      </c>
      <c r="G86" s="42" t="s">
        <v>127</v>
      </c>
      <c r="H86" s="38" t="s">
        <v>64</v>
      </c>
      <c r="I86" s="51"/>
      <c r="J86" s="51"/>
      <c r="K86" s="51"/>
      <c r="L86" s="51"/>
      <c r="M86" s="51"/>
      <c r="N86" s="51"/>
      <c r="O86" s="51"/>
      <c r="P86" s="51"/>
      <c r="Q86" s="51"/>
      <c r="R86" s="35" t="s">
        <v>38</v>
      </c>
      <c r="S86" s="36" t="s">
        <v>60</v>
      </c>
      <c r="T86" s="49" t="s">
        <v>241</v>
      </c>
      <c r="U86" s="51"/>
      <c r="V86" s="35" t="s">
        <v>38</v>
      </c>
      <c r="W86" s="36" t="s">
        <v>60</v>
      </c>
      <c r="X86" s="38" t="s">
        <v>138</v>
      </c>
      <c r="Y86" s="51"/>
      <c r="Z86" s="35" t="s">
        <v>38</v>
      </c>
      <c r="AA86" s="36" t="s">
        <v>60</v>
      </c>
      <c r="AB86" s="38" t="s">
        <v>138</v>
      </c>
      <c r="AC86" s="51"/>
      <c r="AD86" s="51"/>
      <c r="AE86" s="51"/>
      <c r="AF86" s="51"/>
      <c r="AG86" s="51"/>
      <c r="AH86" s="35" t="s">
        <v>38</v>
      </c>
      <c r="AI86" s="36" t="s">
        <v>256</v>
      </c>
      <c r="AJ86" s="47">
        <v>25500</v>
      </c>
      <c r="AK86" s="51"/>
      <c r="AL86" s="51"/>
      <c r="AM86" s="51"/>
      <c r="AN86" s="51"/>
      <c r="AO86" s="51"/>
      <c r="AP86" s="51"/>
      <c r="AQ86" s="51"/>
      <c r="AR86" s="51"/>
      <c r="AS86" s="51"/>
      <c r="AT86" s="51"/>
      <c r="AU86" s="51"/>
      <c r="AV86" s="51"/>
      <c r="AW86" s="51"/>
      <c r="AX86" s="41" t="s">
        <v>38</v>
      </c>
      <c r="AY86" s="53" t="s">
        <v>202</v>
      </c>
      <c r="AZ86" s="52">
        <f>ROUND((AZ79-AZ80)*1000/(AZ82-AZ81),0)</f>
        <v>2833</v>
      </c>
      <c r="BA86" s="51"/>
    </row>
    <row r="87" spans="1:53" s="7" customFormat="1" ht="15.75">
      <c r="A87" s="51"/>
      <c r="B87" s="51"/>
      <c r="C87" s="51"/>
      <c r="D87" s="51"/>
      <c r="E87" s="51"/>
      <c r="F87" s="51"/>
      <c r="G87" s="51"/>
      <c r="H87" s="51"/>
      <c r="I87" s="51"/>
      <c r="J87" s="51"/>
      <c r="K87" s="51"/>
      <c r="L87" s="51"/>
      <c r="M87" s="51"/>
      <c r="N87" s="51"/>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35" t="s">
        <v>38</v>
      </c>
      <c r="AY87" s="47" t="s">
        <v>203</v>
      </c>
      <c r="AZ87" s="52">
        <f>ROUND(AZ84+AZ88*AZ82/1000,0)</f>
        <v>172517</v>
      </c>
      <c r="BA87" s="51"/>
    </row>
    <row r="88" spans="1:53" s="7" customFormat="1" ht="15.75">
      <c r="A88" s="51"/>
      <c r="B88" s="51"/>
      <c r="C88" s="51"/>
      <c r="D88" s="51"/>
      <c r="E88" s="51"/>
      <c r="F88" s="51"/>
      <c r="G88" s="51"/>
      <c r="H88" s="51"/>
      <c r="I88" s="51"/>
      <c r="J88" s="51"/>
      <c r="K88" s="51"/>
      <c r="L88" s="51"/>
      <c r="M88" s="51"/>
      <c r="N88" s="51"/>
      <c r="O88" s="51"/>
      <c r="P88" s="51"/>
      <c r="Q88" s="51"/>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41" t="s">
        <v>38</v>
      </c>
      <c r="AY88" s="53" t="s">
        <v>204</v>
      </c>
      <c r="AZ88" s="52">
        <f>ROUND((AZ83-AZ84)*1000/(AZ82-AZ81),0)</f>
        <v>2167</v>
      </c>
    </row>
    <row r="89" spans="1:53" s="7" customFormat="1" ht="15.75">
      <c r="A89" s="51"/>
      <c r="B89" s="51"/>
      <c r="C89" s="51"/>
      <c r="D89" s="51"/>
      <c r="E89" s="51"/>
      <c r="F89" s="51"/>
      <c r="G89" s="51"/>
      <c r="H89" s="51"/>
      <c r="I89" s="51"/>
      <c r="J89" s="51"/>
      <c r="K89" s="51"/>
      <c r="L89" s="51"/>
      <c r="M89" s="51"/>
      <c r="N89" s="51"/>
      <c r="O89" s="51"/>
      <c r="P89" s="51"/>
      <c r="Q89" s="51"/>
      <c r="U89" s="51"/>
      <c r="V89" s="51"/>
      <c r="W89" s="51"/>
      <c r="X89" s="51"/>
      <c r="Y89" s="51"/>
      <c r="Z89" s="51"/>
      <c r="AA89" s="51"/>
      <c r="AB89" s="51"/>
      <c r="AC89" s="51"/>
      <c r="AD89" s="51"/>
      <c r="AE89" s="51"/>
      <c r="AF89" s="51"/>
      <c r="AG89" s="51"/>
      <c r="AH89" s="51"/>
      <c r="AI89" s="51"/>
      <c r="AJ89" s="51"/>
      <c r="AK89" s="51"/>
      <c r="AL89" s="51"/>
      <c r="AM89" s="51"/>
      <c r="AN89" s="51"/>
      <c r="AO89" s="51"/>
      <c r="AP89" s="51"/>
      <c r="AQ89" s="51"/>
      <c r="AR89" s="51"/>
      <c r="AS89" s="51"/>
      <c r="AT89" s="51"/>
      <c r="AU89" s="51"/>
      <c r="AV89" s="51"/>
      <c r="AW89" s="51"/>
      <c r="AX89" s="35" t="s">
        <v>38</v>
      </c>
      <c r="AY89" s="36" t="s">
        <v>226</v>
      </c>
      <c r="AZ89" s="49" t="s">
        <v>270</v>
      </c>
    </row>
    <row r="90" spans="1:53" s="7" customFormat="1" ht="15.75">
      <c r="A90" s="51"/>
      <c r="B90" s="51"/>
      <c r="C90" s="51"/>
      <c r="D90" s="51"/>
      <c r="E90" s="51"/>
      <c r="F90" s="51"/>
      <c r="G90" s="51"/>
      <c r="H90" s="51"/>
      <c r="I90" s="51"/>
      <c r="J90" s="51"/>
      <c r="K90" s="51"/>
      <c r="L90" s="51"/>
      <c r="M90" s="51"/>
      <c r="N90" s="51"/>
      <c r="O90" s="51"/>
      <c r="P90" s="51"/>
      <c r="Q90" s="51"/>
      <c r="U90" s="51"/>
      <c r="V90" s="51"/>
      <c r="W90" s="51"/>
      <c r="X90" s="51"/>
      <c r="Y90" s="51"/>
      <c r="Z90" s="51"/>
      <c r="AA90" s="51"/>
      <c r="AB90" s="51"/>
      <c r="AC90" s="51"/>
      <c r="AD90" s="51"/>
      <c r="AE90" s="51"/>
      <c r="AF90" s="51"/>
      <c r="AG90" s="51"/>
      <c r="AH90" s="51"/>
      <c r="AI90" s="51"/>
      <c r="AJ90" s="51"/>
      <c r="AK90" s="51"/>
      <c r="AL90" s="51"/>
      <c r="AM90" s="51"/>
      <c r="AN90" s="51"/>
      <c r="AO90" s="51"/>
      <c r="AP90" s="51"/>
      <c r="AQ90" s="51"/>
      <c r="AR90" s="51"/>
      <c r="AS90" s="51"/>
      <c r="AT90" s="51"/>
      <c r="AU90" s="51"/>
      <c r="AV90" s="51"/>
      <c r="AW90" s="51"/>
      <c r="AX90" s="35" t="s">
        <v>38</v>
      </c>
      <c r="AY90" s="36" t="s">
        <v>228</v>
      </c>
      <c r="AZ90" s="49" t="s">
        <v>270</v>
      </c>
    </row>
    <row r="91" spans="1:53" s="7" customFormat="1" ht="15.75">
      <c r="A91" s="51"/>
      <c r="B91" s="51"/>
      <c r="C91" s="51"/>
      <c r="D91" s="51"/>
      <c r="E91" s="51"/>
      <c r="F91" s="51"/>
      <c r="G91" s="51"/>
      <c r="H91" s="51"/>
      <c r="I91" s="51"/>
      <c r="J91" s="51"/>
      <c r="K91" s="51"/>
      <c r="L91" s="51"/>
      <c r="M91" s="51"/>
      <c r="N91" s="51"/>
      <c r="O91" s="51"/>
      <c r="P91" s="51"/>
      <c r="Q91" s="51"/>
      <c r="U91" s="51"/>
      <c r="V91" s="51"/>
      <c r="W91" s="51"/>
      <c r="X91" s="51"/>
      <c r="Y91" s="51"/>
      <c r="Z91" s="51"/>
      <c r="AA91" s="51"/>
      <c r="AB91" s="51"/>
      <c r="AC91" s="51"/>
      <c r="AD91" s="51"/>
      <c r="AE91" s="51"/>
      <c r="AF91" s="51"/>
      <c r="AG91" s="51"/>
      <c r="AH91" s="51"/>
      <c r="AI91" s="51"/>
      <c r="AJ91" s="51"/>
      <c r="AK91" s="51"/>
      <c r="AL91" s="51"/>
      <c r="AM91" s="51"/>
      <c r="AN91" s="51"/>
      <c r="AO91" s="51"/>
      <c r="AP91" s="51"/>
      <c r="AQ91" s="51"/>
      <c r="AR91" s="51"/>
      <c r="AS91" s="51"/>
      <c r="AT91" s="51"/>
      <c r="AU91" s="51"/>
      <c r="AV91" s="51"/>
      <c r="AW91" s="51"/>
      <c r="AX91" s="35" t="s">
        <v>38</v>
      </c>
      <c r="AY91" s="36" t="s">
        <v>229</v>
      </c>
      <c r="AZ91" s="49" t="s">
        <v>230</v>
      </c>
    </row>
    <row r="92" spans="1:53" s="7" customFormat="1" ht="15.75">
      <c r="A92" s="51"/>
      <c r="B92" s="51"/>
      <c r="C92" s="51"/>
      <c r="D92" s="51"/>
      <c r="E92" s="51"/>
      <c r="F92" s="51"/>
      <c r="G92" s="51"/>
      <c r="H92" s="51"/>
      <c r="I92" s="51"/>
      <c r="J92" s="51"/>
      <c r="K92" s="51"/>
      <c r="L92" s="51"/>
      <c r="M92" s="51"/>
      <c r="N92" s="51"/>
      <c r="O92" s="51"/>
      <c r="P92" s="51"/>
      <c r="Q92" s="51"/>
      <c r="U92" s="51"/>
      <c r="V92" s="51"/>
      <c r="W92" s="51"/>
      <c r="X92" s="51"/>
      <c r="Y92" s="51"/>
      <c r="Z92" s="51"/>
      <c r="AA92" s="51"/>
      <c r="AB92" s="51"/>
      <c r="AC92" s="51"/>
      <c r="AD92" s="51"/>
      <c r="AE92" s="51"/>
      <c r="AF92" s="51"/>
      <c r="AG92" s="51"/>
      <c r="AH92" s="51"/>
      <c r="AI92" s="51"/>
      <c r="AJ92" s="51"/>
      <c r="AK92" s="51"/>
      <c r="AL92" s="51"/>
      <c r="AM92" s="51"/>
      <c r="AN92" s="51"/>
      <c r="AO92" s="51"/>
      <c r="AP92" s="51"/>
      <c r="AQ92" s="51"/>
      <c r="AR92" s="51"/>
      <c r="AS92" s="51"/>
      <c r="AT92" s="51"/>
      <c r="AU92" s="51"/>
      <c r="AV92" s="51"/>
      <c r="AW92" s="51"/>
      <c r="AX92" s="51"/>
    </row>
    <row r="93" spans="1:53" s="7" customFormat="1" ht="15.75">
      <c r="A93" s="51"/>
      <c r="B93" s="51"/>
      <c r="C93" s="51"/>
      <c r="D93" s="51"/>
      <c r="E93" s="51"/>
      <c r="F93" s="51"/>
      <c r="G93" s="51"/>
      <c r="H93" s="51"/>
      <c r="I93" s="51"/>
      <c r="J93" s="51"/>
      <c r="K93" s="51"/>
      <c r="L93" s="51"/>
      <c r="M93" s="51"/>
      <c r="N93" s="51"/>
      <c r="O93" s="51"/>
      <c r="P93" s="51"/>
      <c r="Q93" s="51"/>
      <c r="U93" s="51"/>
      <c r="V93" s="51"/>
      <c r="W93" s="51"/>
      <c r="X93" s="51"/>
      <c r="Y93" s="51"/>
      <c r="Z93" s="51"/>
      <c r="AA93" s="51"/>
      <c r="AB93" s="51"/>
      <c r="AC93" s="51"/>
      <c r="AD93" s="51"/>
      <c r="AE93" s="51"/>
      <c r="AF93" s="51"/>
      <c r="AG93" s="51"/>
      <c r="AH93" s="51"/>
      <c r="AI93" s="51"/>
      <c r="AJ93" s="51"/>
      <c r="AK93" s="51"/>
      <c r="AL93" s="51"/>
      <c r="AM93" s="51"/>
      <c r="AN93" s="51"/>
      <c r="AO93" s="51"/>
      <c r="AP93" s="51"/>
      <c r="AQ93" s="51"/>
      <c r="AR93" s="51"/>
      <c r="AS93" s="51"/>
      <c r="AT93" s="51"/>
      <c r="AU93" s="51"/>
      <c r="AV93" s="51"/>
      <c r="AW93" s="51"/>
      <c r="AX93" s="51"/>
    </row>
    <row r="94" spans="1:53" s="7" customFormat="1" ht="15.75">
      <c r="A94" s="51"/>
      <c r="B94" s="51"/>
      <c r="C94" s="51"/>
      <c r="D94" s="51"/>
      <c r="E94" s="51"/>
      <c r="F94" s="51"/>
      <c r="G94" s="51"/>
      <c r="H94" s="51"/>
      <c r="I94" s="51"/>
      <c r="J94" s="51"/>
      <c r="K94" s="51"/>
      <c r="L94" s="51"/>
      <c r="M94" s="51"/>
      <c r="N94" s="51"/>
      <c r="O94" s="51"/>
      <c r="P94" s="51"/>
      <c r="Q94" s="51"/>
      <c r="U94" s="51"/>
      <c r="V94" s="51"/>
      <c r="W94" s="51"/>
      <c r="X94" s="51"/>
      <c r="Y94" s="51"/>
      <c r="Z94" s="51"/>
      <c r="AA94" s="51"/>
      <c r="AB94" s="51"/>
      <c r="AC94" s="51"/>
      <c r="AD94" s="51"/>
      <c r="AE94" s="51"/>
      <c r="AF94" s="51"/>
      <c r="AG94" s="51"/>
      <c r="AH94" s="51"/>
      <c r="AI94" s="51"/>
      <c r="AJ94" s="51"/>
      <c r="AK94" s="51"/>
      <c r="AL94" s="51"/>
      <c r="AM94" s="51"/>
      <c r="AN94" s="51"/>
      <c r="AO94" s="51"/>
      <c r="AP94" s="51"/>
      <c r="AQ94" s="51"/>
      <c r="AR94" s="51"/>
      <c r="AS94" s="51"/>
      <c r="AT94" s="51"/>
      <c r="AU94" s="51"/>
      <c r="AV94" s="51"/>
      <c r="AW94" s="51"/>
      <c r="AX94" s="51"/>
    </row>
    <row r="95" spans="1:53" ht="15.75">
      <c r="A95" s="51"/>
      <c r="B95" s="51"/>
      <c r="C95" s="51"/>
      <c r="D95" s="51"/>
      <c r="E95" s="51"/>
      <c r="F95" s="51"/>
      <c r="G95" s="51"/>
      <c r="H95" s="51"/>
      <c r="I95" s="51"/>
      <c r="J95" s="51"/>
      <c r="K95" s="51"/>
      <c r="L95" s="51"/>
      <c r="M95" s="51"/>
      <c r="N95" s="51"/>
      <c r="O95" s="51"/>
      <c r="P95" s="51"/>
      <c r="Q95" s="51"/>
      <c r="U95" s="51"/>
      <c r="V95" s="51"/>
      <c r="W95" s="51"/>
      <c r="X95" s="51"/>
      <c r="Y95" s="51"/>
      <c r="Z95" s="51"/>
      <c r="AA95" s="51"/>
      <c r="AB95" s="51"/>
      <c r="AC95" s="51"/>
      <c r="AD95" s="51"/>
      <c r="AE95" s="51"/>
      <c r="AF95" s="51"/>
      <c r="AG95" s="51"/>
      <c r="AH95" s="51"/>
      <c r="AI95" s="51"/>
      <c r="AJ95" s="51"/>
      <c r="AK95" s="51"/>
      <c r="AL95" s="51"/>
      <c r="AM95" s="51"/>
      <c r="AN95" s="51"/>
      <c r="AO95" s="51"/>
      <c r="AP95" s="51"/>
      <c r="AQ95" s="51"/>
      <c r="AR95" s="51"/>
      <c r="AS95" s="51"/>
      <c r="AT95" s="51"/>
      <c r="AU95" s="51"/>
      <c r="AV95" s="51"/>
      <c r="AW95" s="51"/>
      <c r="AX95" s="51"/>
      <c r="AY95" s="1"/>
      <c r="AZ95" s="1"/>
      <c r="BA95" s="1"/>
    </row>
    <row r="96" spans="1:53" ht="15.75">
      <c r="A96" s="51"/>
      <c r="B96" s="51"/>
      <c r="C96" s="51"/>
      <c r="D96" s="51"/>
      <c r="E96" s="51"/>
      <c r="F96" s="51"/>
      <c r="G96" s="51"/>
      <c r="H96" s="51"/>
      <c r="I96" s="51"/>
      <c r="J96" s="51"/>
      <c r="K96" s="51"/>
      <c r="L96" s="51"/>
      <c r="M96" s="51"/>
      <c r="N96" s="51"/>
      <c r="O96" s="51"/>
      <c r="P96" s="51"/>
      <c r="Q96" s="51"/>
      <c r="U96" s="51"/>
      <c r="V96" s="51"/>
      <c r="W96" s="51"/>
      <c r="X96" s="51"/>
      <c r="Y96" s="51"/>
      <c r="Z96" s="51"/>
      <c r="AA96" s="51"/>
      <c r="AB96" s="51"/>
      <c r="AC96" s="51"/>
      <c r="AD96" s="51"/>
      <c r="AE96" s="51"/>
      <c r="AF96" s="51"/>
      <c r="AG96" s="51"/>
      <c r="AH96" s="51"/>
      <c r="AI96" s="51"/>
      <c r="AJ96" s="51"/>
      <c r="AK96" s="51"/>
      <c r="AL96" s="51"/>
      <c r="AM96" s="51"/>
      <c r="AN96" s="51"/>
      <c r="AO96" s="51"/>
      <c r="AP96" s="51"/>
      <c r="AQ96" s="51"/>
      <c r="AR96" s="51"/>
      <c r="AS96" s="51"/>
      <c r="AT96" s="51"/>
      <c r="AU96" s="51"/>
      <c r="AV96" s="51"/>
      <c r="AW96" s="51"/>
      <c r="AX96" s="51"/>
      <c r="AY96" s="1"/>
      <c r="AZ96" s="1"/>
      <c r="BA96" s="1"/>
    </row>
    <row r="97" spans="1:53" ht="15.75">
      <c r="A97" s="51"/>
      <c r="B97" s="51"/>
      <c r="C97" s="51"/>
      <c r="D97" s="51"/>
      <c r="E97" s="51"/>
      <c r="F97" s="51"/>
      <c r="G97" s="51"/>
      <c r="H97" s="51"/>
      <c r="I97" s="51"/>
      <c r="J97" s="51"/>
      <c r="K97" s="51"/>
      <c r="L97" s="51"/>
      <c r="M97" s="51"/>
      <c r="N97" s="51"/>
      <c r="O97" s="51"/>
      <c r="P97" s="51"/>
      <c r="Q97" s="51"/>
      <c r="U97" s="51"/>
      <c r="V97" s="51"/>
      <c r="W97" s="51"/>
      <c r="X97" s="51"/>
      <c r="Y97" s="51"/>
      <c r="Z97" s="51"/>
      <c r="AA97" s="51"/>
      <c r="AB97" s="51"/>
      <c r="AC97" s="51"/>
      <c r="AD97" s="51"/>
      <c r="AE97" s="51"/>
      <c r="AF97" s="51"/>
      <c r="AG97" s="51"/>
      <c r="AH97" s="51"/>
      <c r="AI97" s="51"/>
      <c r="AJ97" s="51"/>
      <c r="AK97" s="51"/>
      <c r="AL97" s="51"/>
      <c r="AM97" s="51"/>
      <c r="AN97" s="51"/>
      <c r="AO97" s="51"/>
      <c r="AP97" s="51"/>
      <c r="AQ97" s="51"/>
      <c r="AR97" s="51"/>
      <c r="AS97" s="51"/>
      <c r="AT97" s="51"/>
      <c r="AU97" s="51"/>
      <c r="AV97" s="51"/>
      <c r="AW97" s="51"/>
      <c r="AX97" s="51"/>
      <c r="AY97" s="1"/>
      <c r="AZ97" s="1"/>
      <c r="BA97" s="1"/>
    </row>
    <row r="98" spans="1:53" ht="15.75">
      <c r="A98" s="51"/>
      <c r="B98" s="51"/>
      <c r="C98" s="51"/>
      <c r="D98" s="51"/>
      <c r="E98" s="51"/>
      <c r="F98" s="51"/>
      <c r="G98" s="51"/>
      <c r="H98" s="51"/>
      <c r="I98" s="51"/>
      <c r="J98" s="51"/>
      <c r="K98" s="51"/>
      <c r="L98" s="51"/>
      <c r="M98" s="51"/>
      <c r="N98" s="51"/>
      <c r="O98" s="51"/>
      <c r="P98" s="51"/>
      <c r="Q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c r="AT98" s="51"/>
      <c r="AU98" s="51"/>
      <c r="AV98" s="51"/>
      <c r="AW98" s="51"/>
      <c r="AX98" s="51"/>
      <c r="AY98" s="1"/>
      <c r="AZ98" s="1"/>
      <c r="BA98" s="1"/>
    </row>
    <row r="99" spans="1:53" ht="15.75">
      <c r="A99" s="51"/>
      <c r="B99" s="51"/>
      <c r="C99" s="51"/>
      <c r="D99" s="51"/>
      <c r="E99" s="51"/>
      <c r="F99" s="51"/>
      <c r="G99" s="51"/>
      <c r="H99" s="51"/>
      <c r="I99" s="51"/>
      <c r="J99" s="51"/>
      <c r="K99" s="51"/>
      <c r="L99" s="51"/>
      <c r="M99" s="51"/>
      <c r="N99" s="51"/>
      <c r="O99" s="51"/>
      <c r="P99" s="51"/>
      <c r="Q99" s="51"/>
      <c r="U99" s="51"/>
      <c r="V99" s="51"/>
      <c r="W99" s="51"/>
      <c r="X99" s="51"/>
      <c r="Y99" s="51"/>
      <c r="Z99" s="51"/>
      <c r="AA99" s="51"/>
      <c r="AB99" s="51"/>
      <c r="AC99" s="51"/>
      <c r="AD99" s="51"/>
      <c r="AE99" s="51"/>
      <c r="AF99" s="51"/>
      <c r="AG99" s="51"/>
      <c r="AH99" s="51"/>
      <c r="AI99" s="51"/>
      <c r="AJ99" s="51"/>
      <c r="AK99" s="51"/>
      <c r="AL99" s="51"/>
      <c r="AM99" s="51"/>
      <c r="AN99" s="51"/>
      <c r="AO99" s="51"/>
      <c r="AP99" s="51"/>
      <c r="AQ99" s="51"/>
      <c r="AR99" s="51"/>
      <c r="AS99" s="51"/>
      <c r="AT99" s="51"/>
      <c r="AU99" s="51"/>
      <c r="AV99" s="51"/>
      <c r="AW99" s="51"/>
      <c r="AX99" s="51"/>
      <c r="AY99" s="1"/>
      <c r="AZ99" s="1"/>
      <c r="BA99" s="1"/>
    </row>
    <row r="100" spans="1:53" ht="15.75">
      <c r="A100" s="51"/>
      <c r="B100" s="51"/>
      <c r="C100" s="51"/>
      <c r="D100" s="51"/>
      <c r="E100" s="51"/>
      <c r="F100" s="51"/>
      <c r="G100" s="51"/>
      <c r="H100" s="51"/>
      <c r="I100" s="51"/>
      <c r="J100" s="51"/>
      <c r="K100" s="51"/>
      <c r="L100" s="51"/>
      <c r="M100" s="51"/>
      <c r="N100" s="51"/>
      <c r="O100" s="51"/>
      <c r="P100" s="51"/>
      <c r="Q100" s="51"/>
      <c r="U100" s="51"/>
      <c r="V100" s="51"/>
      <c r="W100" s="51"/>
      <c r="X100" s="51"/>
      <c r="Y100" s="51"/>
      <c r="Z100" s="51"/>
      <c r="AA100" s="51"/>
      <c r="AB100" s="51"/>
      <c r="AC100" s="51"/>
      <c r="AD100" s="51"/>
      <c r="AE100" s="51"/>
      <c r="AF100" s="51"/>
      <c r="AG100" s="51"/>
      <c r="AH100" s="51"/>
      <c r="AI100" s="51"/>
      <c r="AJ100" s="51"/>
      <c r="AK100" s="51"/>
      <c r="AL100" s="51"/>
      <c r="AM100" s="51"/>
      <c r="AN100" s="51"/>
      <c r="AO100" s="51"/>
      <c r="AP100" s="51"/>
      <c r="AQ100" s="51"/>
      <c r="AR100" s="51"/>
      <c r="AS100" s="51"/>
      <c r="AT100" s="51"/>
      <c r="AU100" s="51"/>
      <c r="AV100" s="51"/>
      <c r="AW100" s="51"/>
      <c r="AX100" s="51"/>
      <c r="AY100" s="51"/>
      <c r="AZ100" s="51"/>
      <c r="BA100" s="51"/>
    </row>
    <row r="101" spans="1:53" ht="15.75">
      <c r="A101" s="51"/>
      <c r="B101" s="51"/>
      <c r="C101" s="51"/>
      <c r="D101" s="51"/>
      <c r="E101" s="51"/>
      <c r="F101" s="51"/>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c r="AT101" s="51"/>
      <c r="AU101" s="51"/>
      <c r="AV101" s="51"/>
      <c r="AW101" s="51"/>
      <c r="AX101" s="51"/>
      <c r="AY101" s="51"/>
      <c r="AZ101" s="51"/>
      <c r="BA101" s="51"/>
    </row>
    <row r="102" spans="1:53" ht="15.75">
      <c r="A102" s="51"/>
      <c r="B102" s="51"/>
      <c r="C102" s="51"/>
      <c r="D102" s="51"/>
      <c r="E102" s="51"/>
      <c r="F102" s="51"/>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c r="AT102" s="51"/>
      <c r="AU102" s="51"/>
      <c r="AV102" s="51"/>
      <c r="AW102" s="51"/>
      <c r="AX102" s="51"/>
      <c r="AY102" s="51"/>
      <c r="AZ102" s="51"/>
      <c r="BA102" s="51"/>
    </row>
    <row r="103" spans="1:53" ht="15.75">
      <c r="A103" s="51"/>
      <c r="B103" s="51"/>
      <c r="C103" s="51"/>
      <c r="D103" s="51"/>
      <c r="E103" s="51"/>
      <c r="F103" s="51"/>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c r="AJ103" s="51"/>
      <c r="AK103" s="51"/>
      <c r="AL103" s="51"/>
      <c r="AM103" s="51"/>
      <c r="AN103" s="51"/>
      <c r="AO103" s="51"/>
      <c r="AP103" s="51"/>
      <c r="AQ103" s="51"/>
      <c r="AR103" s="51"/>
      <c r="AS103" s="51"/>
      <c r="AT103" s="51"/>
      <c r="AU103" s="51"/>
      <c r="AV103" s="51"/>
      <c r="AW103" s="51"/>
      <c r="AX103" s="51"/>
      <c r="AY103" s="51"/>
      <c r="AZ103" s="51"/>
      <c r="BA103" s="51"/>
    </row>
    <row r="104" spans="1:53" ht="15.75">
      <c r="A104" s="51"/>
      <c r="B104" s="51"/>
      <c r="C104" s="51"/>
      <c r="D104" s="51"/>
      <c r="E104" s="51"/>
      <c r="F104" s="51"/>
      <c r="G104" s="51"/>
      <c r="H104" s="51"/>
      <c r="I104" s="51"/>
      <c r="J104" s="51"/>
      <c r="K104" s="51"/>
      <c r="L104" s="51"/>
      <c r="M104" s="51"/>
      <c r="N104" s="51"/>
      <c r="O104" s="51"/>
      <c r="P104" s="51"/>
      <c r="Q104" s="51"/>
      <c r="R104" s="51"/>
      <c r="S104" s="51"/>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c r="AT104" s="51"/>
      <c r="AU104" s="51"/>
      <c r="AV104" s="51"/>
      <c r="AW104" s="51"/>
      <c r="AX104" s="51"/>
      <c r="AY104" s="51"/>
      <c r="AZ104" s="51"/>
      <c r="BA104" s="51"/>
    </row>
    <row r="105" spans="1:53" ht="15.75">
      <c r="A105" s="51"/>
      <c r="B105" s="51"/>
      <c r="C105" s="51"/>
      <c r="D105" s="51"/>
      <c r="E105" s="51"/>
      <c r="F105" s="51"/>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c r="AD105" s="51"/>
      <c r="AE105" s="51"/>
      <c r="AF105" s="51"/>
      <c r="AG105" s="51"/>
      <c r="AH105" s="51"/>
      <c r="AI105" s="51"/>
      <c r="AJ105" s="51"/>
      <c r="AK105" s="51"/>
      <c r="AL105" s="51"/>
      <c r="AM105" s="51"/>
      <c r="AN105" s="51"/>
      <c r="AO105" s="51"/>
      <c r="AP105" s="51"/>
      <c r="AQ105" s="51"/>
      <c r="AR105" s="51"/>
      <c r="AS105" s="51"/>
      <c r="AT105" s="51"/>
      <c r="AU105" s="51"/>
      <c r="AV105" s="51"/>
      <c r="AW105" s="51"/>
      <c r="AX105" s="51"/>
      <c r="AY105" s="51"/>
      <c r="AZ105" s="51"/>
      <c r="BA105" s="51"/>
    </row>
    <row r="106" spans="1:53" ht="15.75">
      <c r="A106" s="51"/>
      <c r="B106" s="51"/>
      <c r="C106" s="51"/>
      <c r="D106" s="51"/>
      <c r="E106" s="51"/>
      <c r="F106" s="51"/>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c r="AV106" s="51"/>
      <c r="AW106" s="51"/>
      <c r="AX106" s="51"/>
      <c r="AY106" s="51"/>
      <c r="AZ106" s="51"/>
      <c r="BA106" s="51"/>
    </row>
    <row r="107" spans="1:53" ht="15.75">
      <c r="A107" s="51"/>
      <c r="B107" s="51"/>
      <c r="C107" s="51"/>
      <c r="D107" s="51"/>
      <c r="E107" s="51"/>
      <c r="F107" s="51"/>
      <c r="G107" s="51"/>
      <c r="H107" s="51"/>
      <c r="I107" s="5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c r="AV107" s="51"/>
      <c r="AW107" s="51"/>
      <c r="AX107" s="51"/>
      <c r="AY107" s="51"/>
      <c r="AZ107" s="51"/>
      <c r="BA107" s="51"/>
    </row>
    <row r="108" spans="1:53" ht="15.75">
      <c r="A108" s="51"/>
      <c r="B108" s="51"/>
      <c r="C108" s="51"/>
      <c r="D108" s="51"/>
      <c r="E108" s="51"/>
      <c r="F108" s="51"/>
      <c r="G108" s="51"/>
      <c r="H108" s="51"/>
      <c r="I108" s="5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c r="AV108" s="51"/>
      <c r="AW108" s="51"/>
      <c r="AX108" s="51"/>
      <c r="AY108" s="51"/>
      <c r="AZ108" s="51"/>
      <c r="BA108" s="51"/>
    </row>
    <row r="109" spans="1:53" ht="15.75">
      <c r="A109" s="51"/>
      <c r="B109" s="51"/>
      <c r="C109" s="51"/>
      <c r="D109" s="51"/>
      <c r="E109" s="51"/>
      <c r="F109" s="51"/>
      <c r="G109" s="51"/>
      <c r="H109" s="51"/>
      <c r="I109" s="5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c r="AV109" s="51"/>
      <c r="AW109" s="51"/>
      <c r="AX109" s="51"/>
      <c r="AY109" s="51"/>
      <c r="AZ109" s="51"/>
      <c r="BA109" s="51"/>
    </row>
    <row r="110" spans="1:53" ht="15.75">
      <c r="A110" s="51"/>
      <c r="B110" s="51"/>
      <c r="C110" s="51"/>
      <c r="D110" s="51"/>
      <c r="E110" s="51"/>
      <c r="F110" s="51"/>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c r="AV110" s="51"/>
      <c r="AW110" s="51"/>
      <c r="AX110" s="51"/>
      <c r="AY110" s="51"/>
      <c r="AZ110" s="51"/>
      <c r="BA110" s="51"/>
    </row>
    <row r="111" spans="1:53" ht="15.75">
      <c r="A111" s="51"/>
      <c r="B111" s="51"/>
      <c r="C111" s="51"/>
      <c r="D111" s="51"/>
      <c r="E111" s="51"/>
      <c r="F111" s="51"/>
      <c r="G111" s="51"/>
      <c r="H111" s="51"/>
      <c r="I111" s="5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c r="AV111" s="51"/>
      <c r="AW111" s="51"/>
      <c r="AX111" s="51"/>
      <c r="AY111" s="51"/>
      <c r="AZ111" s="51"/>
      <c r="BA111" s="51"/>
    </row>
    <row r="112" spans="1:53" ht="15.75">
      <c r="A112" s="51"/>
      <c r="B112" s="51"/>
      <c r="C112" s="51"/>
      <c r="D112" s="51"/>
      <c r="E112" s="51"/>
      <c r="F112" s="51"/>
      <c r="G112" s="51"/>
      <c r="H112" s="51"/>
      <c r="I112" s="5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c r="AV112" s="51"/>
      <c r="AW112" s="51"/>
      <c r="AX112" s="51"/>
      <c r="AY112" s="51"/>
      <c r="AZ112" s="51"/>
      <c r="BA112" s="51"/>
    </row>
    <row r="113" spans="1:53" ht="15.75">
      <c r="A113" s="51"/>
      <c r="B113" s="51"/>
      <c r="C113" s="51"/>
      <c r="D113" s="51"/>
      <c r="E113" s="51"/>
      <c r="F113" s="51"/>
      <c r="G113" s="51"/>
      <c r="H113" s="51"/>
      <c r="I113" s="5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c r="AV113" s="51"/>
      <c r="AW113" s="51"/>
      <c r="AX113" s="51"/>
      <c r="AY113" s="51"/>
      <c r="AZ113" s="51"/>
      <c r="BA113" s="51"/>
    </row>
    <row r="114" spans="1:53" ht="15.75">
      <c r="A114" s="51"/>
      <c r="B114" s="51"/>
      <c r="C114" s="51"/>
      <c r="D114" s="51"/>
      <c r="E114" s="51"/>
      <c r="F114" s="51"/>
      <c r="G114" s="51"/>
      <c r="H114" s="51"/>
      <c r="I114" s="5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c r="AV114" s="51"/>
      <c r="AW114" s="51"/>
      <c r="AX114" s="51"/>
      <c r="AY114" s="51"/>
      <c r="AZ114" s="51"/>
      <c r="BA114" s="51"/>
    </row>
    <row r="115" spans="1:53" ht="15.75">
      <c r="A115" s="51"/>
      <c r="B115" s="51"/>
      <c r="C115" s="51"/>
      <c r="D115" s="51"/>
      <c r="E115" s="51"/>
      <c r="F115" s="51"/>
      <c r="G115" s="51"/>
      <c r="H115" s="51"/>
      <c r="I115" s="5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c r="AV115" s="51"/>
      <c r="AW115" s="51"/>
      <c r="AX115" s="51"/>
      <c r="AY115" s="51"/>
      <c r="AZ115" s="51"/>
      <c r="BA115" s="51"/>
    </row>
    <row r="116" spans="1:53" ht="15.75">
      <c r="A116" s="51"/>
      <c r="B116" s="51"/>
      <c r="C116" s="51"/>
      <c r="D116" s="51"/>
      <c r="E116" s="51"/>
      <c r="F116" s="51"/>
      <c r="G116" s="51"/>
      <c r="H116" s="51"/>
      <c r="I116" s="51"/>
      <c r="J116" s="51"/>
      <c r="K116" s="51"/>
      <c r="L116" s="51"/>
      <c r="M116" s="51"/>
      <c r="N116" s="51"/>
      <c r="O116" s="51"/>
      <c r="P116" s="51"/>
      <c r="Q116" s="51"/>
      <c r="R116" s="51"/>
      <c r="S116" s="51"/>
      <c r="T116" s="51"/>
      <c r="U116" s="51"/>
      <c r="V116" s="51"/>
      <c r="W116" s="51"/>
      <c r="X116" s="51"/>
      <c r="Y116" s="51"/>
      <c r="Z116" s="51"/>
      <c r="AA116" s="51"/>
      <c r="AB116" s="51"/>
      <c r="AC116" s="51"/>
      <c r="AD116" s="51"/>
      <c r="AE116" s="51"/>
      <c r="AF116" s="51"/>
      <c r="AG116" s="51"/>
      <c r="AH116" s="51"/>
      <c r="AI116" s="51"/>
      <c r="AJ116" s="51"/>
      <c r="AK116" s="51"/>
      <c r="AL116" s="51"/>
      <c r="AM116" s="51"/>
      <c r="AN116" s="51"/>
      <c r="AO116" s="51"/>
      <c r="AP116" s="51"/>
      <c r="AQ116" s="51"/>
      <c r="AR116" s="51"/>
      <c r="AS116" s="51"/>
      <c r="AT116" s="51"/>
      <c r="AU116" s="51"/>
      <c r="AV116" s="51"/>
      <c r="AW116" s="51"/>
      <c r="AX116" s="51"/>
      <c r="AY116" s="51"/>
      <c r="AZ116" s="51"/>
      <c r="BA116" s="51"/>
    </row>
    <row r="117" spans="1:53" ht="15.75">
      <c r="A117" s="51"/>
      <c r="B117" s="51"/>
      <c r="C117" s="51"/>
      <c r="D117" s="51"/>
      <c r="E117" s="51"/>
      <c r="F117" s="51"/>
      <c r="G117" s="51"/>
      <c r="H117" s="51"/>
      <c r="I117" s="51"/>
      <c r="J117" s="51"/>
      <c r="K117" s="51"/>
      <c r="L117" s="51"/>
      <c r="M117" s="51"/>
      <c r="N117" s="51"/>
      <c r="O117" s="51"/>
      <c r="P117" s="51"/>
      <c r="Q117" s="51"/>
      <c r="R117" s="51"/>
      <c r="S117" s="51"/>
      <c r="T117" s="51"/>
      <c r="U117" s="51"/>
      <c r="V117" s="51"/>
      <c r="W117" s="51"/>
      <c r="X117" s="51"/>
      <c r="Y117" s="51"/>
      <c r="Z117" s="51"/>
      <c r="AA117" s="51"/>
      <c r="AB117" s="51"/>
      <c r="AC117" s="51"/>
      <c r="AD117" s="51"/>
      <c r="AE117" s="51"/>
      <c r="AF117" s="51"/>
      <c r="AG117" s="51"/>
      <c r="AH117" s="51"/>
      <c r="AI117" s="51"/>
      <c r="AJ117" s="51"/>
      <c r="AK117" s="51"/>
      <c r="AL117" s="51"/>
      <c r="AM117" s="51"/>
      <c r="AN117" s="51"/>
      <c r="AO117" s="51"/>
      <c r="AP117" s="51"/>
      <c r="AQ117" s="51"/>
      <c r="AR117" s="51"/>
      <c r="AS117" s="51"/>
      <c r="AT117" s="51"/>
      <c r="AU117" s="51"/>
      <c r="AV117" s="51"/>
      <c r="AW117" s="51"/>
      <c r="AX117" s="51"/>
      <c r="AY117" s="51"/>
      <c r="AZ117" s="51"/>
      <c r="BA117" s="51"/>
    </row>
    <row r="118" spans="1:53" ht="15.75">
      <c r="A118" s="51"/>
      <c r="B118" s="51"/>
      <c r="C118" s="51"/>
      <c r="D118" s="51"/>
      <c r="E118" s="51"/>
      <c r="F118" s="51"/>
      <c r="G118" s="51"/>
      <c r="H118" s="51"/>
      <c r="I118" s="51"/>
      <c r="J118" s="51"/>
      <c r="K118" s="51"/>
      <c r="L118" s="51"/>
      <c r="M118" s="51"/>
      <c r="N118" s="51"/>
      <c r="O118" s="51"/>
      <c r="P118" s="51"/>
      <c r="Q118" s="51"/>
      <c r="R118" s="51"/>
      <c r="S118" s="51"/>
      <c r="T118" s="51"/>
      <c r="U118" s="51"/>
      <c r="V118" s="51"/>
      <c r="W118" s="51"/>
      <c r="X118" s="51"/>
      <c r="Y118" s="51"/>
      <c r="Z118" s="51"/>
      <c r="AA118" s="51"/>
      <c r="AB118" s="51"/>
      <c r="AC118" s="51"/>
      <c r="AD118" s="51"/>
      <c r="AE118" s="51"/>
      <c r="AF118" s="51"/>
      <c r="AG118" s="51"/>
      <c r="AH118" s="51"/>
      <c r="AI118" s="51"/>
      <c r="AJ118" s="51"/>
      <c r="AK118" s="51"/>
      <c r="AL118" s="51"/>
      <c r="AM118" s="51"/>
      <c r="AN118" s="51"/>
      <c r="AO118" s="51"/>
      <c r="AP118" s="51"/>
      <c r="AQ118" s="51"/>
      <c r="AR118" s="51"/>
      <c r="AS118" s="51"/>
      <c r="AT118" s="51"/>
      <c r="AU118" s="51"/>
      <c r="AV118" s="51"/>
      <c r="AW118" s="51"/>
      <c r="AX118" s="51"/>
      <c r="AY118" s="51"/>
      <c r="AZ118" s="51"/>
      <c r="BA118" s="51"/>
    </row>
    <row r="119" spans="1:53" ht="15.75">
      <c r="A119" s="51"/>
      <c r="B119" s="51"/>
      <c r="C119" s="51"/>
      <c r="D119" s="51"/>
      <c r="E119" s="51"/>
      <c r="F119" s="51"/>
      <c r="G119" s="51"/>
      <c r="H119" s="51"/>
      <c r="I119" s="51"/>
      <c r="J119" s="51"/>
      <c r="K119" s="51"/>
      <c r="L119" s="51"/>
      <c r="M119" s="51"/>
      <c r="N119" s="51"/>
      <c r="O119" s="51"/>
      <c r="P119" s="51"/>
      <c r="Q119" s="51"/>
      <c r="R119" s="51"/>
      <c r="S119" s="51"/>
      <c r="T119" s="51"/>
      <c r="U119" s="51"/>
      <c r="V119" s="51"/>
      <c r="W119" s="51"/>
      <c r="X119" s="51"/>
      <c r="Y119" s="51"/>
      <c r="Z119" s="51"/>
      <c r="AA119" s="51"/>
      <c r="AB119" s="51"/>
      <c r="AC119" s="51"/>
      <c r="AD119" s="51"/>
      <c r="AE119" s="51"/>
      <c r="AF119" s="51"/>
      <c r="AG119" s="51"/>
      <c r="AH119" s="51"/>
      <c r="AI119" s="51"/>
      <c r="AJ119" s="51"/>
      <c r="AK119" s="51"/>
      <c r="AL119" s="51"/>
      <c r="AM119" s="51"/>
      <c r="AN119" s="51"/>
      <c r="AO119" s="51"/>
      <c r="AP119" s="51"/>
      <c r="AQ119" s="51"/>
      <c r="AR119" s="51"/>
      <c r="AS119" s="51"/>
      <c r="AT119" s="51"/>
      <c r="AU119" s="51"/>
      <c r="AV119" s="51"/>
      <c r="AW119" s="51"/>
      <c r="AX119" s="51"/>
      <c r="AY119" s="51"/>
      <c r="AZ119" s="51"/>
      <c r="BA119" s="51"/>
    </row>
    <row r="120" spans="1:53" ht="15.75">
      <c r="A120" s="51"/>
      <c r="B120" s="51"/>
      <c r="C120" s="51"/>
      <c r="D120" s="51"/>
      <c r="E120" s="51"/>
      <c r="F120" s="51"/>
      <c r="G120" s="51"/>
      <c r="H120" s="51"/>
      <c r="I120" s="51"/>
      <c r="J120" s="51"/>
      <c r="K120" s="51"/>
      <c r="L120" s="51"/>
      <c r="M120" s="51"/>
      <c r="N120" s="51"/>
      <c r="O120" s="51"/>
      <c r="P120" s="51"/>
      <c r="Q120" s="51"/>
      <c r="R120" s="51"/>
      <c r="S120" s="51"/>
      <c r="T120" s="51"/>
      <c r="U120" s="51"/>
      <c r="V120" s="51"/>
      <c r="W120" s="51"/>
      <c r="X120" s="51"/>
      <c r="Y120" s="51"/>
      <c r="Z120" s="51"/>
      <c r="AA120" s="51"/>
      <c r="AB120" s="51"/>
      <c r="AC120" s="51"/>
      <c r="AD120" s="51"/>
      <c r="AE120" s="51"/>
      <c r="AF120" s="51"/>
      <c r="AG120" s="51"/>
      <c r="AH120" s="51"/>
      <c r="AI120" s="51"/>
      <c r="AJ120" s="51"/>
      <c r="AK120" s="51"/>
      <c r="AL120" s="51"/>
      <c r="AM120" s="51"/>
      <c r="AN120" s="51"/>
      <c r="AO120" s="51"/>
      <c r="AP120" s="51"/>
      <c r="AQ120" s="51"/>
      <c r="AR120" s="51"/>
      <c r="AS120" s="51"/>
      <c r="AT120" s="51"/>
      <c r="AU120" s="51"/>
      <c r="AV120" s="51"/>
      <c r="AW120" s="51"/>
      <c r="AX120" s="51"/>
      <c r="AY120" s="51"/>
      <c r="AZ120" s="51"/>
      <c r="BA120" s="51"/>
    </row>
    <row r="121" spans="1:53" ht="15.75">
      <c r="A121" s="51"/>
      <c r="B121" s="51"/>
      <c r="C121" s="51"/>
      <c r="D121" s="51"/>
      <c r="E121" s="51"/>
      <c r="F121" s="51"/>
      <c r="G121" s="51"/>
      <c r="H121" s="51"/>
      <c r="I121" s="51"/>
      <c r="J121" s="51"/>
      <c r="K121" s="51"/>
      <c r="L121" s="51"/>
      <c r="M121" s="51"/>
      <c r="N121" s="51"/>
      <c r="O121" s="51"/>
      <c r="P121" s="51"/>
      <c r="Q121" s="51"/>
      <c r="R121" s="51"/>
      <c r="S121" s="51"/>
      <c r="T121" s="51"/>
      <c r="U121" s="51"/>
      <c r="V121" s="51"/>
      <c r="W121" s="51"/>
      <c r="X121" s="51"/>
      <c r="Y121" s="51"/>
      <c r="Z121" s="51"/>
      <c r="AA121" s="51"/>
      <c r="AB121" s="51"/>
      <c r="AC121" s="51"/>
      <c r="AD121" s="51"/>
      <c r="AE121" s="51"/>
      <c r="AF121" s="51"/>
      <c r="AG121" s="51"/>
      <c r="AH121" s="51"/>
      <c r="AI121" s="51"/>
      <c r="AJ121" s="51"/>
      <c r="AK121" s="51"/>
      <c r="AL121" s="51"/>
      <c r="AM121" s="51"/>
      <c r="AN121" s="51"/>
      <c r="AO121" s="51"/>
      <c r="AP121" s="51"/>
      <c r="AQ121" s="51"/>
      <c r="AR121" s="51"/>
      <c r="AS121" s="51"/>
      <c r="AT121" s="51"/>
      <c r="AU121" s="51"/>
      <c r="AV121" s="51"/>
      <c r="AW121" s="51"/>
      <c r="AX121" s="51"/>
      <c r="AY121" s="51"/>
      <c r="AZ121" s="51"/>
      <c r="BA121" s="51"/>
    </row>
    <row r="122" spans="1:53" ht="15.75">
      <c r="A122" s="51"/>
      <c r="B122" s="51"/>
      <c r="C122" s="51"/>
      <c r="D122" s="51"/>
      <c r="E122" s="51"/>
      <c r="F122" s="51"/>
      <c r="G122" s="51"/>
      <c r="H122" s="51"/>
      <c r="I122" s="51"/>
      <c r="J122" s="51"/>
      <c r="K122" s="51"/>
      <c r="L122" s="51"/>
      <c r="M122" s="51"/>
      <c r="N122" s="51"/>
      <c r="O122" s="51"/>
      <c r="P122" s="51"/>
      <c r="Q122" s="51"/>
      <c r="R122" s="51"/>
      <c r="S122" s="51"/>
      <c r="T122" s="51"/>
      <c r="U122" s="51"/>
      <c r="V122" s="51"/>
      <c r="W122" s="51"/>
      <c r="X122" s="51"/>
      <c r="Y122" s="51"/>
      <c r="Z122" s="51"/>
      <c r="AA122" s="51"/>
      <c r="AB122" s="51"/>
      <c r="AC122" s="51"/>
      <c r="AD122" s="51"/>
      <c r="AE122" s="51"/>
      <c r="AF122" s="51"/>
      <c r="AG122" s="51"/>
      <c r="AH122" s="51"/>
      <c r="AI122" s="51"/>
      <c r="AJ122" s="51"/>
      <c r="AK122" s="51"/>
      <c r="AL122" s="51"/>
      <c r="AM122" s="51"/>
      <c r="AN122" s="51"/>
      <c r="AO122" s="51"/>
      <c r="AP122" s="51"/>
      <c r="AQ122" s="51"/>
      <c r="AR122" s="51"/>
      <c r="AS122" s="51"/>
      <c r="AT122" s="51"/>
      <c r="AU122" s="51"/>
      <c r="AV122" s="51"/>
      <c r="AW122" s="51"/>
      <c r="AX122" s="51"/>
      <c r="AY122" s="51"/>
      <c r="AZ122" s="51"/>
      <c r="BA122" s="51"/>
    </row>
  </sheetData>
  <phoneticPr fontId="8" type="noConversion"/>
  <dataValidations count="14">
    <dataValidation type="list" allowBlank="1" showInputMessage="1" sqref="AA19">
      <formula1>'[1]6735_coolers'!A2:A134</formula1>
    </dataValidation>
    <dataValidation type="list" allowBlank="1" showInputMessage="1" sqref="AE61 AE47 AE40 AE33 AE26 AE19 AE12 AE68 AI26 AU5 C5 C33 C47 C54 C61 C68 AU12 G5 G19 G26 G33 G40 G47 G54 G61 G68 AY19 AU68 AY26 AQ5 K33 K40 K47 K54 K61 K68 O12 O5 O19 O26 O33 O40 O47 O54 O61 O68 S12 S5 S19 S26 S33 S40 S47 S54 S61 S68 W12 W5 W19 W26 W33 W40 W47 W54 W61 W68 C40 AY47 G12 AA68 AA61 AA54 AA47 AI19 C19 AY12 AY68 C26 AY40 AY61 AY54 AA12 AA33 AA40 AY33 AY5 AE54 AI12 AM5 AM61 AM54 AM47 AM40 AM33 AM26 AM19 AM12 AM68 AA26 AQ61 AQ54 AQ47 AQ40 AQ33 AQ26 AQ19 AQ12 AQ68 AI47 AU61 AU54 AU47 AU40 AU33 AU26 AU19 AI5 AI61 AI54 AI40 AI33 AI68 K19 K12 K5 K26">
      <formula1>'6755_coolers'!A2:A137</formula1>
    </dataValidation>
    <dataValidation type="list" allowBlank="1" showInputMessage="1" showErrorMessage="1" sqref="AU1 C1 G1 AY1 O1 S1 W1 AI1 AA1 AM1 AQ1 K1">
      <formula1>'6755_tz'!A2:A97</formula1>
    </dataValidation>
    <dataValidation type="decimal" allowBlank="1" showInputMessage="1" showErrorMessage="1" errorTitle="Invalid" error="Must between [-1, 65535]" promptTitle="Range" prompt="between [-1, 65535]" sqref="L79:L81">
      <formula1>-1</formula1>
      <formula2>65535</formula2>
    </dataValidation>
    <dataValidation type="decimal" allowBlank="1" showInputMessage="1" showErrorMessage="1" errorTitle="Invalid" error="Must be 0 or 1" promptTitle="kernel log" prompt="0, off (default)_x000a_1, on" sqref="L78 AJ78">
      <formula1>0</formula1>
      <formula2>1</formula2>
    </dataValidation>
    <dataValidation type="decimal" allowBlank="1" showInputMessage="1" showErrorMessage="1" errorTitle="Invalid" error="Must between [-1, 65535]" promptTitle="Range" prompt="0 or between [100, 25500]" sqref="AN79:AN80 AR79:AR80 AV79:AV80 AJ79:AJ86">
      <formula1>0</formula1>
      <formula2>25500</formula2>
    </dataValidation>
    <dataValidation type="decimal" allowBlank="1" showInputMessage="1" showErrorMessage="1" errorTitle="Invalid" error="Must be 0 or 1" promptTitle="kernel log" prompt="[1, max step]" sqref="AN78 AR78 AV78">
      <formula1>1</formula1>
      <formula2>5</formula2>
    </dataValidation>
    <dataValidation type="list" allowBlank="1" showInputMessage="1" showErrorMessage="1" sqref="T77 D1 H1 T1 X1 P1 AB1 X77 AJ1 AN1 AR1 H77 L77 AZ77 AF1 AB77 P77 D77 AV1 AZ1 AV77 AF77 AJ77 AN77 AR77 L1">
      <formula1>"ENABLE,DISABLE"</formula1>
    </dataValidation>
    <dataValidation type="list" allowBlank="1" showInputMessage="1" showErrorMessage="1" sqref="AA41:AA43 AY20:AY22 AE55:AE57 AE48:AE50 AE41:AE43 AE34:AE36 AE27:AE29 AE20:AE22 AE69:AE71 AE13:AE15 AE62:AE64 AI69:AI71 AU62:AU64 O13:O15 O69:O71 O20:O22 O27:O29 O34:O36 O41:O43 O6:O8 O48:O50 O55:O57 O62:O64 C69:C71 C34:C36 C6:C8 C48:C50 C55:C57 C62:C64 S13:S15 S69:S71 S20:S22 S27:S29 S34:S36 S41:S43 S6:S8 S48:S50 S55:S57 S62:S64 AQ6:AQ8 G69:G71 G20:G22 K69:K71 G27:G29 G34:G36 G41:G43 AY55:AY57 K34:K36 G6:G8 G48:G50 G55:G57 K41:K43 AA6:AA8 G62:G64 K48:K50 K55:K57 K62:K64 W13:W15 W69:W71 W20:W22 W27:W29 W34:W36 W41:W43 W6:W8 W48:W50 W55:W57 W62:W64 C27:C29 AU6:AU8 AM6:AM8 G13:G15 AA55:AA57 AA48:AA50 AI62:AI64 AI13:AI15 C20:C22 AY62:AY64 AA69:AA71 AY69:AY71 AA62:AA64 AY48:AY50 AY41:AY43 AY34:AY36 AY27:AY29 AY13:AY15 AA27:AA29 AY6:AY8 C41:C43 AI20:AI22 AE6:AE8 AM55:AM57 AM48:AM50 AM41:AM43 AM34:AM36 AM27:AM29 AM20:AM22 AM69:AM71 AM13:AM15 AM62:AM64 AA34:AA36 AQ55:AQ57 AQ48:AQ50 AQ41:AQ43 AQ34:AQ36 AQ27:AQ29 AQ20:AQ22 AQ69:AQ71 AQ13:AQ15 AQ62:AQ64 AI48:AI50 AU55:AU57 AU48:AU50 AU41:AU43 AU34:AU36 AU27:AU29 AU20:AU22 AU69:AU71 AU13:AU15 AI6:AI8 AI55:AI57 AI41:AI43 AI34:AI36 AI27:AI29 AA13:AA15 K13:K15 K20:K22 K6:K8 K27:K29">
      <formula1>"NULL, CPU0 loading(%), Wifi usage(Kb/s), &lt; Mobile usage(Kb/s), EXIT, mtktscpu, mtktsabb, mtktspmic, mtktsbattery, mtktspa, mtktswmt, mtktsAP, mtktsbuck, mtktsbattery2, mtktsxtal"</formula1>
    </dataValidation>
    <dataValidation type="list" allowBlank="1" showInputMessage="1" showErrorMessage="1" sqref="AE1">
      <formula1>'[2]6755_tz'!A2:A97</formula1>
    </dataValidation>
    <dataValidation type="list" allowBlank="1" showInputMessage="1" sqref="AE5">
      <formula1>'[2]6755_coolers'!A2:A134</formula1>
    </dataValidation>
    <dataValidation type="list" allowBlank="1" showInputMessage="1" sqref="AA5">
      <formula1>'[3]6755_coolers'!A2:A134</formula1>
    </dataValidation>
    <dataValidation type="list" allowBlank="1" showInputMessage="1" showErrorMessage="1" sqref="C13:C15 AA20:AA22">
      <formula1>"NULL, CPU0 loading(%), Wifi usage(Kb/s), EXIT, mtktscpu, mtktsabb, mtktspmic, mtktsbattery, mtktspa, mtktswmt, mtktsAP, mtktsbuck, mtktsbattery2, mtktsxtal"</formula1>
    </dataValidation>
    <dataValidation type="list" allowBlank="1" showInputMessage="1" sqref="C12">
      <formula1>'[4]6755_coolers'!A2:A134</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sheetPr codeName="Sheet89">
    <tabColor rgb="FFFF0000"/>
  </sheetPr>
  <dimension ref="A1:BA122"/>
  <sheetViews>
    <sheetView tabSelected="1" topLeftCell="H7" zoomScale="90" zoomScaleNormal="90" workbookViewId="0">
      <selection activeCell="AJ46" sqref="AJ46"/>
    </sheetView>
  </sheetViews>
  <sheetFormatPr defaultRowHeight="14.2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9.140625" style="7"/>
    <col min="54" max="16384" width="9.140625" style="1"/>
  </cols>
  <sheetData>
    <row r="1" spans="1:53" ht="57.75" customHeight="1">
      <c r="A1" s="1" t="s">
        <v>182</v>
      </c>
      <c r="B1" s="2" t="s">
        <v>35</v>
      </c>
      <c r="C1" s="3" t="s">
        <v>23</v>
      </c>
      <c r="D1" s="4" t="s">
        <v>36</v>
      </c>
      <c r="E1" s="5"/>
      <c r="F1" s="2" t="s">
        <v>35</v>
      </c>
      <c r="G1" s="3" t="s">
        <v>24</v>
      </c>
      <c r="H1" s="4" t="s">
        <v>36</v>
      </c>
      <c r="I1" s="5"/>
      <c r="J1" s="2" t="s">
        <v>35</v>
      </c>
      <c r="K1" s="3" t="s">
        <v>25</v>
      </c>
      <c r="L1" s="4" t="s">
        <v>36</v>
      </c>
      <c r="M1" s="6"/>
      <c r="N1" s="2" t="s">
        <v>35</v>
      </c>
      <c r="O1" s="3" t="s">
        <v>26</v>
      </c>
      <c r="P1" s="4" t="s">
        <v>36</v>
      </c>
      <c r="Q1" s="6"/>
      <c r="R1" s="2" t="s">
        <v>35</v>
      </c>
      <c r="S1" s="3" t="s">
        <v>34</v>
      </c>
      <c r="T1" s="4" t="s">
        <v>36</v>
      </c>
      <c r="U1" s="6"/>
      <c r="V1" s="2" t="s">
        <v>35</v>
      </c>
      <c r="W1" s="3" t="s">
        <v>27</v>
      </c>
      <c r="X1" s="4" t="s">
        <v>36</v>
      </c>
      <c r="Y1" s="6"/>
      <c r="Z1" s="2" t="s">
        <v>35</v>
      </c>
      <c r="AA1" s="3" t="s">
        <v>68</v>
      </c>
      <c r="AB1" s="4" t="s">
        <v>36</v>
      </c>
      <c r="AC1" s="6"/>
      <c r="AD1" s="2" t="s">
        <v>35</v>
      </c>
      <c r="AE1" s="3" t="s">
        <v>69</v>
      </c>
      <c r="AF1" s="4" t="s">
        <v>36</v>
      </c>
      <c r="AG1" s="6"/>
      <c r="AH1" s="2" t="s">
        <v>35</v>
      </c>
      <c r="AI1" s="3" t="s">
        <v>132</v>
      </c>
      <c r="AJ1" s="4" t="s">
        <v>36</v>
      </c>
      <c r="AK1" s="6"/>
      <c r="AL1" s="2" t="s">
        <v>35</v>
      </c>
      <c r="AM1" s="3" t="s">
        <v>128</v>
      </c>
      <c r="AN1" s="4" t="s">
        <v>36</v>
      </c>
      <c r="AO1" s="6"/>
      <c r="AP1" s="2" t="s">
        <v>35</v>
      </c>
      <c r="AQ1" s="3" t="s">
        <v>233</v>
      </c>
      <c r="AR1" s="4" t="s">
        <v>36</v>
      </c>
      <c r="AS1" s="6"/>
      <c r="AT1" s="2" t="s">
        <v>35</v>
      </c>
      <c r="AU1" s="3" t="s">
        <v>234</v>
      </c>
      <c r="AV1" s="4" t="s">
        <v>36</v>
      </c>
      <c r="AW1" s="6"/>
      <c r="AX1" s="2" t="s">
        <v>35</v>
      </c>
      <c r="AY1" s="3" t="s">
        <v>129</v>
      </c>
      <c r="AZ1" s="4" t="s">
        <v>36</v>
      </c>
      <c r="BA1" s="51"/>
    </row>
    <row r="2" spans="1:53" ht="30.75" customHeight="1">
      <c r="B2" s="2" t="s">
        <v>9</v>
      </c>
      <c r="C2" s="3">
        <v>2</v>
      </c>
      <c r="D2" s="8"/>
      <c r="E2" s="9"/>
      <c r="F2" s="2" t="s">
        <v>9</v>
      </c>
      <c r="G2" s="3">
        <v>1</v>
      </c>
      <c r="H2" s="8"/>
      <c r="I2" s="10"/>
      <c r="J2" s="2" t="s">
        <v>9</v>
      </c>
      <c r="K2" s="3">
        <v>1</v>
      </c>
      <c r="L2" s="8"/>
      <c r="M2" s="10"/>
      <c r="N2" s="2" t="s">
        <v>9</v>
      </c>
      <c r="O2" s="3">
        <v>1</v>
      </c>
      <c r="P2" s="8"/>
      <c r="Q2" s="10"/>
      <c r="R2" s="2" t="s">
        <v>9</v>
      </c>
      <c r="S2" s="3">
        <v>1</v>
      </c>
      <c r="T2" s="8"/>
      <c r="U2" s="10"/>
      <c r="V2" s="2" t="s">
        <v>9</v>
      </c>
      <c r="W2" s="3">
        <v>1</v>
      </c>
      <c r="X2" s="8"/>
      <c r="Y2" s="10"/>
      <c r="Z2" s="2" t="s">
        <v>9</v>
      </c>
      <c r="AA2" s="3">
        <v>3</v>
      </c>
      <c r="AB2" s="8"/>
      <c r="AC2" s="10"/>
      <c r="AD2" s="2" t="s">
        <v>9</v>
      </c>
      <c r="AE2" s="3">
        <v>1</v>
      </c>
      <c r="AF2" s="8"/>
      <c r="AG2" s="10"/>
      <c r="AH2" s="2" t="s">
        <v>9</v>
      </c>
      <c r="AI2" s="3">
        <v>7</v>
      </c>
      <c r="AJ2" s="46"/>
      <c r="AK2" s="10"/>
      <c r="AL2" s="2" t="s">
        <v>9</v>
      </c>
      <c r="AM2" s="3">
        <v>0</v>
      </c>
      <c r="AN2" s="8"/>
      <c r="AO2" s="10"/>
      <c r="AP2" s="2" t="s">
        <v>9</v>
      </c>
      <c r="AQ2" s="3">
        <v>0</v>
      </c>
      <c r="AR2" s="8"/>
      <c r="AS2" s="10"/>
      <c r="AT2" s="2" t="s">
        <v>9</v>
      </c>
      <c r="AU2" s="3">
        <v>0</v>
      </c>
      <c r="AV2" s="8"/>
      <c r="AW2" s="10"/>
      <c r="AX2" s="2" t="s">
        <v>9</v>
      </c>
      <c r="AY2" s="3">
        <v>0</v>
      </c>
      <c r="AZ2" s="8"/>
      <c r="BA2" s="51"/>
    </row>
    <row r="3" spans="1:53" ht="15" customHeight="1">
      <c r="A3" s="11"/>
      <c r="B3" s="12" t="s">
        <v>7</v>
      </c>
      <c r="C3" s="13">
        <v>117000</v>
      </c>
      <c r="D3" s="14"/>
      <c r="E3" s="9"/>
      <c r="F3" s="12" t="s">
        <v>7</v>
      </c>
      <c r="G3" s="13">
        <v>145000</v>
      </c>
      <c r="H3" s="14"/>
      <c r="I3" s="10"/>
      <c r="J3" s="12" t="s">
        <v>7</v>
      </c>
      <c r="K3" s="13">
        <v>60000</v>
      </c>
      <c r="L3" s="14"/>
      <c r="M3" s="10"/>
      <c r="N3" s="12" t="s">
        <v>7</v>
      </c>
      <c r="O3" s="13">
        <v>120000</v>
      </c>
      <c r="P3" s="14"/>
      <c r="Q3" s="10"/>
      <c r="R3" s="12" t="s">
        <v>7</v>
      </c>
      <c r="S3" s="13">
        <v>117000</v>
      </c>
      <c r="T3" s="14"/>
      <c r="U3" s="10"/>
      <c r="V3" s="12" t="s">
        <v>7</v>
      </c>
      <c r="W3" s="13">
        <v>120000</v>
      </c>
      <c r="X3" s="14"/>
      <c r="Y3" s="10"/>
      <c r="Z3" s="12" t="s">
        <v>7</v>
      </c>
      <c r="AA3" s="13">
        <v>100000</v>
      </c>
      <c r="AB3" s="14"/>
      <c r="AC3" s="10"/>
      <c r="AD3" s="12" t="s">
        <v>7</v>
      </c>
      <c r="AE3" s="13">
        <v>120000</v>
      </c>
      <c r="AF3" s="14"/>
      <c r="AG3" s="10"/>
      <c r="AH3" s="12" t="s">
        <v>7</v>
      </c>
      <c r="AI3" s="13">
        <v>120000</v>
      </c>
      <c r="AJ3" s="43"/>
      <c r="AK3" s="10"/>
      <c r="AL3" s="12" t="s">
        <v>7</v>
      </c>
      <c r="AM3" s="13">
        <v>0</v>
      </c>
      <c r="AN3" s="14"/>
      <c r="AO3" s="10"/>
      <c r="AP3" s="12" t="s">
        <v>7</v>
      </c>
      <c r="AQ3" s="13">
        <v>0</v>
      </c>
      <c r="AR3" s="14"/>
      <c r="AS3" s="10"/>
      <c r="AT3" s="12" t="s">
        <v>7</v>
      </c>
      <c r="AU3" s="13">
        <v>0</v>
      </c>
      <c r="AV3" s="14"/>
      <c r="AW3" s="10"/>
      <c r="AX3" s="12" t="s">
        <v>7</v>
      </c>
      <c r="AY3" s="13">
        <v>0</v>
      </c>
      <c r="AZ3" s="14"/>
      <c r="BA3" s="51"/>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15">
        <v>0</v>
      </c>
      <c r="AJ4" s="43"/>
      <c r="AK4" s="10"/>
      <c r="AL4" s="12" t="s">
        <v>6</v>
      </c>
      <c r="AM4" s="15">
        <v>0</v>
      </c>
      <c r="AN4" s="14"/>
      <c r="AO4" s="10"/>
      <c r="AP4" s="12" t="s">
        <v>6</v>
      </c>
      <c r="AQ4" s="15">
        <v>0</v>
      </c>
      <c r="AR4" s="14"/>
      <c r="AS4" s="10"/>
      <c r="AT4" s="12" t="s">
        <v>6</v>
      </c>
      <c r="AU4" s="15">
        <v>0</v>
      </c>
      <c r="AV4" s="14"/>
      <c r="AW4" s="10"/>
      <c r="AX4" s="12" t="s">
        <v>6</v>
      </c>
      <c r="AY4" s="15">
        <v>0</v>
      </c>
      <c r="AZ4" s="14"/>
      <c r="BA4" s="51"/>
    </row>
    <row r="5" spans="1:53" ht="15" customHeight="1">
      <c r="A5" s="11"/>
      <c r="B5" s="12" t="s">
        <v>5</v>
      </c>
      <c r="C5" s="13" t="s">
        <v>15</v>
      </c>
      <c r="D5" s="14"/>
      <c r="E5" s="9"/>
      <c r="F5" s="12" t="s">
        <v>5</v>
      </c>
      <c r="G5" s="13" t="s">
        <v>1</v>
      </c>
      <c r="H5" s="14"/>
      <c r="I5" s="10"/>
      <c r="J5" s="12" t="s">
        <v>5</v>
      </c>
      <c r="K5" s="13" t="s">
        <v>2</v>
      </c>
      <c r="L5" s="14"/>
      <c r="M5" s="10"/>
      <c r="N5" s="12" t="s">
        <v>5</v>
      </c>
      <c r="O5" s="13" t="s">
        <v>3</v>
      </c>
      <c r="P5" s="14"/>
      <c r="Q5" s="10"/>
      <c r="R5" s="12" t="s">
        <v>5</v>
      </c>
      <c r="S5" s="13" t="s">
        <v>0</v>
      </c>
      <c r="T5" s="14"/>
      <c r="U5" s="10"/>
      <c r="V5" s="12" t="s">
        <v>5</v>
      </c>
      <c r="W5" s="13" t="s">
        <v>16</v>
      </c>
      <c r="X5" s="14"/>
      <c r="Y5" s="10"/>
      <c r="Z5" s="12" t="s">
        <v>5</v>
      </c>
      <c r="AA5" s="13" t="s">
        <v>17</v>
      </c>
      <c r="AB5" s="14"/>
      <c r="AC5" s="10"/>
      <c r="AD5" s="12" t="s">
        <v>5</v>
      </c>
      <c r="AE5" s="13" t="s">
        <v>108</v>
      </c>
      <c r="AF5" s="14"/>
      <c r="AG5" s="10"/>
      <c r="AH5" s="12" t="s">
        <v>5</v>
      </c>
      <c r="AI5" s="13" t="s">
        <v>108</v>
      </c>
      <c r="AJ5" s="43"/>
      <c r="AK5" s="10"/>
      <c r="AL5" s="12" t="s">
        <v>5</v>
      </c>
      <c r="AM5" s="13" t="s">
        <v>4</v>
      </c>
      <c r="AN5" s="14"/>
      <c r="AO5" s="10"/>
      <c r="AP5" s="12" t="s">
        <v>5</v>
      </c>
      <c r="AQ5" s="13" t="s">
        <v>4</v>
      </c>
      <c r="AR5" s="14"/>
      <c r="AS5" s="10"/>
      <c r="AT5" s="12" t="s">
        <v>5</v>
      </c>
      <c r="AU5" s="13" t="s">
        <v>4</v>
      </c>
      <c r="AV5" s="14"/>
      <c r="AW5" s="10"/>
      <c r="AX5" s="12" t="s">
        <v>5</v>
      </c>
      <c r="AY5" s="13" t="s">
        <v>4</v>
      </c>
      <c r="AZ5" s="14"/>
      <c r="BA5" s="51"/>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4">
        <v>0</v>
      </c>
      <c r="AG6" s="10"/>
      <c r="AH6" s="12" t="s">
        <v>11</v>
      </c>
      <c r="AI6" s="15" t="s">
        <v>13</v>
      </c>
      <c r="AJ6" s="15">
        <v>0</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s="51"/>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s="51"/>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s="51"/>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s="51"/>
    </row>
    <row r="10" spans="1:53" ht="15" customHeight="1">
      <c r="A10" s="11"/>
      <c r="B10" s="12" t="s">
        <v>7</v>
      </c>
      <c r="C10" s="44">
        <v>68000</v>
      </c>
      <c r="D10" s="14"/>
      <c r="E10" s="10"/>
      <c r="F10" s="12" t="s">
        <v>7</v>
      </c>
      <c r="G10" s="13">
        <v>0</v>
      </c>
      <c r="H10" s="14"/>
      <c r="I10" s="10"/>
      <c r="J10" s="12" t="s">
        <v>7</v>
      </c>
      <c r="K10" s="13">
        <v>0</v>
      </c>
      <c r="L10" s="14"/>
      <c r="M10" s="10"/>
      <c r="N10" s="12" t="s">
        <v>7</v>
      </c>
      <c r="O10" s="13">
        <v>0</v>
      </c>
      <c r="P10" s="14"/>
      <c r="Q10" s="10"/>
      <c r="R10" s="12" t="s">
        <v>7</v>
      </c>
      <c r="S10" s="13">
        <v>0</v>
      </c>
      <c r="T10" s="14"/>
      <c r="U10" s="10"/>
      <c r="V10" s="12" t="s">
        <v>7</v>
      </c>
      <c r="W10" s="13">
        <v>0</v>
      </c>
      <c r="X10" s="14"/>
      <c r="Y10" s="10"/>
      <c r="Z10" s="12" t="s">
        <v>7</v>
      </c>
      <c r="AA10" s="50">
        <v>90000</v>
      </c>
      <c r="AB10" s="14"/>
      <c r="AC10" s="10"/>
      <c r="AD10" s="12" t="s">
        <v>7</v>
      </c>
      <c r="AE10" s="13">
        <v>0</v>
      </c>
      <c r="AF10" s="14"/>
      <c r="AG10" s="10"/>
      <c r="AH10" s="12" t="s">
        <v>7</v>
      </c>
      <c r="AI10" s="44">
        <v>85000</v>
      </c>
      <c r="AJ10" s="14"/>
      <c r="AK10" s="10"/>
      <c r="AL10" s="12" t="s">
        <v>7</v>
      </c>
      <c r="AM10" s="13">
        <v>0</v>
      </c>
      <c r="AN10" s="14"/>
      <c r="AO10" s="10"/>
      <c r="AP10" s="12" t="s">
        <v>7</v>
      </c>
      <c r="AQ10" s="13">
        <v>0</v>
      </c>
      <c r="AR10" s="14"/>
      <c r="AS10" s="10"/>
      <c r="AT10" s="12" t="s">
        <v>7</v>
      </c>
      <c r="AU10" s="13">
        <v>0</v>
      </c>
      <c r="AV10" s="14"/>
      <c r="AW10" s="10"/>
      <c r="AX10" s="12" t="s">
        <v>7</v>
      </c>
      <c r="AY10" s="13">
        <v>0</v>
      </c>
      <c r="AZ10" s="14"/>
      <c r="BA10" s="51"/>
    </row>
    <row r="11" spans="1:53" ht="15" customHeight="1">
      <c r="A11" s="11"/>
      <c r="B11" s="12" t="s">
        <v>6</v>
      </c>
      <c r="C11" s="15">
        <v>0</v>
      </c>
      <c r="D11" s="14"/>
      <c r="E11" s="10"/>
      <c r="F11" s="12" t="s">
        <v>6</v>
      </c>
      <c r="G11" s="15">
        <v>0</v>
      </c>
      <c r="H11" s="14"/>
      <c r="I11" s="10"/>
      <c r="J11" s="12" t="s">
        <v>6</v>
      </c>
      <c r="K11" s="15">
        <v>0</v>
      </c>
      <c r="L11" s="14"/>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15">
        <v>0</v>
      </c>
      <c r="AJ11" s="14"/>
      <c r="AK11" s="10"/>
      <c r="AL11" s="12" t="s">
        <v>6</v>
      </c>
      <c r="AM11" s="15">
        <v>0</v>
      </c>
      <c r="AN11" s="14"/>
      <c r="AO11" s="10"/>
      <c r="AP11" s="12" t="s">
        <v>6</v>
      </c>
      <c r="AQ11" s="15">
        <v>0</v>
      </c>
      <c r="AR11" s="14"/>
      <c r="AS11" s="10"/>
      <c r="AT11" s="12" t="s">
        <v>6</v>
      </c>
      <c r="AU11" s="15">
        <v>0</v>
      </c>
      <c r="AV11" s="14"/>
      <c r="AW11" s="10"/>
      <c r="AX11" s="12" t="s">
        <v>6</v>
      </c>
      <c r="AY11" s="15">
        <v>0</v>
      </c>
      <c r="AZ11" s="14"/>
      <c r="BA11" s="51"/>
    </row>
    <row r="12" spans="1:53" ht="15" customHeight="1">
      <c r="A12" s="11"/>
      <c r="B12" s="12" t="s">
        <v>5</v>
      </c>
      <c r="C12" s="13" t="s">
        <v>51</v>
      </c>
      <c r="D12" s="14"/>
      <c r="E12" s="10"/>
      <c r="F12" s="12" t="s">
        <v>5</v>
      </c>
      <c r="G12" s="13" t="s">
        <v>4</v>
      </c>
      <c r="H12" s="14"/>
      <c r="I12" s="10"/>
      <c r="J12" s="12" t="s">
        <v>5</v>
      </c>
      <c r="K12" s="13" t="s">
        <v>4</v>
      </c>
      <c r="L12" s="14"/>
      <c r="M12" s="10"/>
      <c r="N12" s="12" t="s">
        <v>5</v>
      </c>
      <c r="O12" s="13" t="s">
        <v>4</v>
      </c>
      <c r="P12" s="14"/>
      <c r="Q12" s="10"/>
      <c r="R12" s="12" t="s">
        <v>5</v>
      </c>
      <c r="S12" s="13" t="s">
        <v>4</v>
      </c>
      <c r="T12" s="14"/>
      <c r="U12" s="10"/>
      <c r="V12" s="12" t="s">
        <v>5</v>
      </c>
      <c r="W12" s="13" t="s">
        <v>4</v>
      </c>
      <c r="X12" s="14"/>
      <c r="Y12" s="10"/>
      <c r="Z12" s="12" t="s">
        <v>5</v>
      </c>
      <c r="AA12" s="50" t="s">
        <v>107</v>
      </c>
      <c r="AB12" s="14"/>
      <c r="AC12" s="10"/>
      <c r="AD12" s="12" t="s">
        <v>5</v>
      </c>
      <c r="AE12" s="13" t="s">
        <v>4</v>
      </c>
      <c r="AF12" s="14"/>
      <c r="AG12" s="10"/>
      <c r="AH12" s="12" t="s">
        <v>5</v>
      </c>
      <c r="AI12" s="54" t="s">
        <v>253</v>
      </c>
      <c r="AJ12" s="14"/>
      <c r="AK12" s="10"/>
      <c r="AL12" s="12" t="s">
        <v>5</v>
      </c>
      <c r="AM12" s="13" t="s">
        <v>4</v>
      </c>
      <c r="AN12" s="14"/>
      <c r="AO12" s="10"/>
      <c r="AP12" s="12" t="s">
        <v>5</v>
      </c>
      <c r="AQ12" s="13" t="s">
        <v>4</v>
      </c>
      <c r="AR12" s="14"/>
      <c r="AS12" s="10"/>
      <c r="AT12" s="12" t="s">
        <v>5</v>
      </c>
      <c r="AU12" s="13" t="s">
        <v>4</v>
      </c>
      <c r="AV12" s="14"/>
      <c r="AW12" s="10"/>
      <c r="AX12" s="12" t="s">
        <v>5</v>
      </c>
      <c r="AY12" s="13" t="s">
        <v>4</v>
      </c>
      <c r="AZ12" s="14"/>
      <c r="BA12" s="51"/>
    </row>
    <row r="13" spans="1:53" ht="15" customHeight="1">
      <c r="A13" s="11"/>
      <c r="B13" s="12" t="s">
        <v>11</v>
      </c>
      <c r="C13" s="15" t="s">
        <v>131</v>
      </c>
      <c r="D13" s="14">
        <v>6000</v>
      </c>
      <c r="E13" s="9"/>
      <c r="F13" s="12" t="s">
        <v>11</v>
      </c>
      <c r="G13" s="15" t="s">
        <v>13</v>
      </c>
      <c r="H13" s="14">
        <v>0</v>
      </c>
      <c r="I13" s="10"/>
      <c r="J13" s="12" t="s">
        <v>11</v>
      </c>
      <c r="K13" s="15" t="s">
        <v>13</v>
      </c>
      <c r="L13" s="14">
        <v>0</v>
      </c>
      <c r="M13" s="10"/>
      <c r="N13" s="12" t="s">
        <v>11</v>
      </c>
      <c r="O13" s="15" t="s">
        <v>13</v>
      </c>
      <c r="P13" s="14">
        <v>0</v>
      </c>
      <c r="Q13" s="10"/>
      <c r="R13" s="12" t="s">
        <v>11</v>
      </c>
      <c r="S13" s="15" t="s">
        <v>13</v>
      </c>
      <c r="T13" s="14">
        <v>0</v>
      </c>
      <c r="U13" s="10"/>
      <c r="V13" s="12" t="s">
        <v>11</v>
      </c>
      <c r="W13" s="15" t="s">
        <v>13</v>
      </c>
      <c r="X13" s="14">
        <v>0</v>
      </c>
      <c r="Y13" s="10"/>
      <c r="Z13" s="12" t="s">
        <v>11</v>
      </c>
      <c r="AA13" s="15" t="s">
        <v>13</v>
      </c>
      <c r="AB13" s="14">
        <v>0</v>
      </c>
      <c r="AC13" s="10"/>
      <c r="AD13" s="12" t="s">
        <v>11</v>
      </c>
      <c r="AE13" s="15" t="s">
        <v>13</v>
      </c>
      <c r="AF13" s="14">
        <v>0</v>
      </c>
      <c r="AG13" s="10"/>
      <c r="AH13" s="12" t="s">
        <v>11</v>
      </c>
      <c r="AI13" s="54" t="s">
        <v>131</v>
      </c>
      <c r="AJ13" s="55">
        <v>2000</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s="51"/>
    </row>
    <row r="14" spans="1:53" ht="15" customHeight="1">
      <c r="A14" s="11"/>
      <c r="B14" s="12" t="s">
        <v>12</v>
      </c>
      <c r="C14" s="15" t="s">
        <v>13</v>
      </c>
      <c r="D14" s="14">
        <v>0</v>
      </c>
      <c r="E14" s="9"/>
      <c r="F14" s="12" t="s">
        <v>12</v>
      </c>
      <c r="G14" s="15" t="s">
        <v>13</v>
      </c>
      <c r="H14" s="14">
        <v>0</v>
      </c>
      <c r="I14" s="10"/>
      <c r="J14" s="12" t="s">
        <v>12</v>
      </c>
      <c r="K14" s="15" t="s">
        <v>13</v>
      </c>
      <c r="L14" s="14">
        <v>0</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6">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s="51"/>
    </row>
    <row r="15" spans="1:53" ht="15" customHeight="1">
      <c r="A15" s="11"/>
      <c r="B15" s="12" t="s">
        <v>14</v>
      </c>
      <c r="C15" s="15" t="s">
        <v>13</v>
      </c>
      <c r="D15" s="14">
        <v>0</v>
      </c>
      <c r="E15" s="9"/>
      <c r="F15" s="12" t="s">
        <v>14</v>
      </c>
      <c r="G15" s="15" t="s">
        <v>13</v>
      </c>
      <c r="H15" s="14">
        <v>0</v>
      </c>
      <c r="I15" s="10"/>
      <c r="J15" s="12" t="s">
        <v>14</v>
      </c>
      <c r="K15" s="15" t="s">
        <v>13</v>
      </c>
      <c r="L15" s="14">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s="51"/>
    </row>
    <row r="16" spans="1:53" s="20" customFormat="1" ht="5.0999999999999996" customHeight="1">
      <c r="A16" s="17"/>
      <c r="B16" s="18"/>
      <c r="C16" s="18"/>
      <c r="D16" s="18"/>
      <c r="E16" s="19"/>
      <c r="F16" s="18"/>
      <c r="G16" s="18"/>
      <c r="H16" s="18"/>
      <c r="I16" s="19"/>
      <c r="J16" s="18"/>
      <c r="K16" s="56"/>
      <c r="L16" s="56"/>
      <c r="M16" s="19"/>
      <c r="N16" s="18"/>
      <c r="O16" s="18"/>
      <c r="P16" s="18"/>
      <c r="Q16" s="19"/>
      <c r="R16" s="18"/>
      <c r="S16" s="18"/>
      <c r="T16" s="18"/>
      <c r="U16" s="19"/>
      <c r="V16" s="18"/>
      <c r="W16" s="18"/>
      <c r="X16" s="18"/>
      <c r="Y16" s="19"/>
      <c r="Z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s="51"/>
    </row>
    <row r="17" spans="1:53" ht="15" customHeight="1">
      <c r="A17" s="11"/>
      <c r="B17" s="12" t="s">
        <v>7</v>
      </c>
      <c r="C17" s="13">
        <v>0</v>
      </c>
      <c r="D17" s="14"/>
      <c r="E17" s="10"/>
      <c r="F17" s="12" t="s">
        <v>7</v>
      </c>
      <c r="G17" s="13">
        <v>0</v>
      </c>
      <c r="H17" s="14"/>
      <c r="I17" s="10"/>
      <c r="J17" s="12" t="s">
        <v>7</v>
      </c>
      <c r="K17" s="13">
        <v>0</v>
      </c>
      <c r="L17" s="14"/>
      <c r="M17" s="10"/>
      <c r="N17" s="12" t="s">
        <v>7</v>
      </c>
      <c r="O17" s="13">
        <v>0</v>
      </c>
      <c r="P17" s="14"/>
      <c r="Q17" s="10"/>
      <c r="R17" s="12" t="s">
        <v>7</v>
      </c>
      <c r="S17" s="13">
        <v>0</v>
      </c>
      <c r="T17" s="14"/>
      <c r="U17" s="10"/>
      <c r="V17" s="12" t="s">
        <v>7</v>
      </c>
      <c r="W17" s="13">
        <v>0</v>
      </c>
      <c r="X17" s="14"/>
      <c r="Y17" s="10"/>
      <c r="Z17" s="12" t="s">
        <v>7</v>
      </c>
      <c r="AA17" s="58">
        <v>57000</v>
      </c>
      <c r="AB17" s="14"/>
      <c r="AC17" s="10"/>
      <c r="AD17" s="12" t="s">
        <v>7</v>
      </c>
      <c r="AE17" s="13">
        <v>0</v>
      </c>
      <c r="AF17" s="14"/>
      <c r="AG17" s="10"/>
      <c r="AH17" s="12" t="s">
        <v>7</v>
      </c>
      <c r="AI17" s="54">
        <v>75000</v>
      </c>
      <c r="AJ17" s="14"/>
      <c r="AK17" s="10"/>
      <c r="AL17" s="12" t="s">
        <v>7</v>
      </c>
      <c r="AM17" s="13">
        <v>0</v>
      </c>
      <c r="AN17" s="14"/>
      <c r="AO17" s="10"/>
      <c r="AP17" s="12" t="s">
        <v>7</v>
      </c>
      <c r="AQ17" s="13">
        <v>0</v>
      </c>
      <c r="AR17" s="14"/>
      <c r="AS17" s="10"/>
      <c r="AT17" s="12" t="s">
        <v>7</v>
      </c>
      <c r="AU17" s="13">
        <v>0</v>
      </c>
      <c r="AV17" s="14"/>
      <c r="AW17" s="10"/>
      <c r="AX17" s="12" t="s">
        <v>7</v>
      </c>
      <c r="AY17" s="13">
        <v>0</v>
      </c>
      <c r="AZ17" s="14"/>
      <c r="BA17" s="51"/>
    </row>
    <row r="18" spans="1:53" ht="15" customHeight="1">
      <c r="A18" s="11"/>
      <c r="B18" s="12" t="s">
        <v>6</v>
      </c>
      <c r="C18" s="15">
        <v>0</v>
      </c>
      <c r="D18" s="14"/>
      <c r="E18" s="10"/>
      <c r="F18" s="12" t="s">
        <v>6</v>
      </c>
      <c r="G18" s="15">
        <v>0</v>
      </c>
      <c r="H18" s="14"/>
      <c r="I18" s="10"/>
      <c r="J18" s="12" t="s">
        <v>6</v>
      </c>
      <c r="K18" s="15">
        <v>0</v>
      </c>
      <c r="L18" s="14"/>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15">
        <v>0</v>
      </c>
      <c r="AJ18" s="14"/>
      <c r="AK18" s="10"/>
      <c r="AL18" s="12" t="s">
        <v>6</v>
      </c>
      <c r="AM18" s="15">
        <v>0</v>
      </c>
      <c r="AN18" s="14"/>
      <c r="AO18" s="10"/>
      <c r="AP18" s="12" t="s">
        <v>6</v>
      </c>
      <c r="AQ18" s="15">
        <v>0</v>
      </c>
      <c r="AR18" s="14"/>
      <c r="AS18" s="10"/>
      <c r="AT18" s="12" t="s">
        <v>6</v>
      </c>
      <c r="AU18" s="15">
        <v>0</v>
      </c>
      <c r="AV18" s="14"/>
      <c r="AW18" s="10"/>
      <c r="AX18" s="12" t="s">
        <v>6</v>
      </c>
      <c r="AY18" s="15">
        <v>0</v>
      </c>
      <c r="AZ18" s="14"/>
      <c r="BA18" s="51"/>
    </row>
    <row r="19" spans="1:53" ht="15" customHeight="1">
      <c r="A19" s="11"/>
      <c r="B19" s="12" t="s">
        <v>5</v>
      </c>
      <c r="C19" s="13" t="s">
        <v>4</v>
      </c>
      <c r="D19" s="14"/>
      <c r="E19" s="10"/>
      <c r="F19" s="12" t="s">
        <v>5</v>
      </c>
      <c r="G19" s="13" t="s">
        <v>4</v>
      </c>
      <c r="H19" s="14"/>
      <c r="I19" s="10"/>
      <c r="J19" s="12" t="s">
        <v>5</v>
      </c>
      <c r="K19" s="13" t="s">
        <v>4</v>
      </c>
      <c r="L19" s="14"/>
      <c r="M19" s="10"/>
      <c r="N19" s="12" t="s">
        <v>5</v>
      </c>
      <c r="O19" s="13" t="s">
        <v>4</v>
      </c>
      <c r="P19" s="14"/>
      <c r="Q19" s="10"/>
      <c r="R19" s="12" t="s">
        <v>5</v>
      </c>
      <c r="S19" s="13" t="s">
        <v>4</v>
      </c>
      <c r="T19" s="14"/>
      <c r="U19" s="10"/>
      <c r="V19" s="12" t="s">
        <v>5</v>
      </c>
      <c r="W19" s="13" t="s">
        <v>4</v>
      </c>
      <c r="X19" s="14"/>
      <c r="Y19" s="10"/>
      <c r="Z19" s="12" t="s">
        <v>5</v>
      </c>
      <c r="AA19" s="58" t="s">
        <v>265</v>
      </c>
      <c r="AB19" s="14"/>
      <c r="AC19" s="10"/>
      <c r="AD19" s="12" t="s">
        <v>5</v>
      </c>
      <c r="AE19" s="13" t="s">
        <v>4</v>
      </c>
      <c r="AF19" s="14"/>
      <c r="AG19" s="10"/>
      <c r="AH19" s="12" t="s">
        <v>5</v>
      </c>
      <c r="AI19" s="54" t="s">
        <v>251</v>
      </c>
      <c r="AJ19" s="14"/>
      <c r="AK19" s="10"/>
      <c r="AL19" s="12" t="s">
        <v>5</v>
      </c>
      <c r="AM19" s="13" t="s">
        <v>4</v>
      </c>
      <c r="AN19" s="14"/>
      <c r="AO19" s="10"/>
      <c r="AP19" s="12" t="s">
        <v>5</v>
      </c>
      <c r="AQ19" s="13" t="s">
        <v>4</v>
      </c>
      <c r="AR19" s="14"/>
      <c r="AS19" s="10"/>
      <c r="AT19" s="12" t="s">
        <v>5</v>
      </c>
      <c r="AU19" s="13" t="s">
        <v>4</v>
      </c>
      <c r="AV19" s="14"/>
      <c r="AW19" s="10"/>
      <c r="AX19" s="12" t="s">
        <v>5</v>
      </c>
      <c r="AY19" s="13" t="s">
        <v>4</v>
      </c>
      <c r="AZ19" s="14"/>
      <c r="BA19" s="51"/>
    </row>
    <row r="20" spans="1:53" ht="15" customHeight="1">
      <c r="A20" s="11"/>
      <c r="B20" s="12" t="s">
        <v>11</v>
      </c>
      <c r="C20" s="15" t="s">
        <v>13</v>
      </c>
      <c r="D20" s="43">
        <v>0</v>
      </c>
      <c r="E20" s="9"/>
      <c r="F20" s="12" t="s">
        <v>11</v>
      </c>
      <c r="G20" s="15" t="s">
        <v>13</v>
      </c>
      <c r="H20" s="14">
        <v>0</v>
      </c>
      <c r="I20" s="10"/>
      <c r="J20" s="12" t="s">
        <v>11</v>
      </c>
      <c r="K20" s="15" t="s">
        <v>13</v>
      </c>
      <c r="L20" s="14">
        <v>0</v>
      </c>
      <c r="M20" s="10"/>
      <c r="N20" s="12" t="s">
        <v>11</v>
      </c>
      <c r="O20" s="15" t="s">
        <v>13</v>
      </c>
      <c r="P20" s="14">
        <v>0</v>
      </c>
      <c r="Q20" s="10"/>
      <c r="R20" s="12" t="s">
        <v>11</v>
      </c>
      <c r="S20" s="15" t="s">
        <v>13</v>
      </c>
      <c r="T20" s="14">
        <v>0</v>
      </c>
      <c r="U20" s="10"/>
      <c r="V20" s="12" t="s">
        <v>11</v>
      </c>
      <c r="W20" s="15" t="s">
        <v>13</v>
      </c>
      <c r="X20" s="14">
        <v>0</v>
      </c>
      <c r="Y20" s="10"/>
      <c r="Z20" s="12" t="s">
        <v>11</v>
      </c>
      <c r="AA20" s="59" t="s">
        <v>131</v>
      </c>
      <c r="AB20" s="60">
        <v>5000</v>
      </c>
      <c r="AC20" s="10"/>
      <c r="AD20" s="12" t="s">
        <v>11</v>
      </c>
      <c r="AE20" s="15" t="s">
        <v>13</v>
      </c>
      <c r="AF20" s="14">
        <v>0</v>
      </c>
      <c r="AG20" s="10"/>
      <c r="AH20" s="12" t="s">
        <v>11</v>
      </c>
      <c r="AI20" s="54" t="s">
        <v>131</v>
      </c>
      <c r="AJ20" s="55">
        <v>2000</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s="51"/>
    </row>
    <row r="21" spans="1:53" ht="15" customHeight="1">
      <c r="A21" s="11"/>
      <c r="B21" s="12" t="s">
        <v>12</v>
      </c>
      <c r="C21" s="15" t="s">
        <v>13</v>
      </c>
      <c r="D21" s="14">
        <v>0</v>
      </c>
      <c r="E21" s="9"/>
      <c r="F21" s="12" t="s">
        <v>12</v>
      </c>
      <c r="G21" s="15" t="s">
        <v>13</v>
      </c>
      <c r="H21" s="14">
        <v>0</v>
      </c>
      <c r="I21" s="10"/>
      <c r="J21" s="12" t="s">
        <v>12</v>
      </c>
      <c r="K21" s="15" t="s">
        <v>13</v>
      </c>
      <c r="L21" s="14">
        <v>0</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15" t="s">
        <v>13</v>
      </c>
      <c r="AJ21" s="55">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s="51"/>
    </row>
    <row r="22" spans="1:53" ht="15" customHeight="1">
      <c r="A22" s="11"/>
      <c r="B22" s="12" t="s">
        <v>14</v>
      </c>
      <c r="C22" s="15" t="s">
        <v>13</v>
      </c>
      <c r="D22" s="14">
        <v>0</v>
      </c>
      <c r="E22" s="9"/>
      <c r="F22" s="12" t="s">
        <v>14</v>
      </c>
      <c r="G22" s="15" t="s">
        <v>13</v>
      </c>
      <c r="H22" s="14">
        <v>0</v>
      </c>
      <c r="I22" s="10"/>
      <c r="J22" s="12" t="s">
        <v>14</v>
      </c>
      <c r="K22" s="15" t="s">
        <v>13</v>
      </c>
      <c r="L22" s="14">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15" t="s">
        <v>13</v>
      </c>
      <c r="AJ22" s="14">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s="51"/>
    </row>
    <row r="23" spans="1:53" s="20" customFormat="1" ht="5.0999999999999996" customHeight="1">
      <c r="A23" s="17"/>
      <c r="B23" s="18"/>
      <c r="C23" s="18"/>
      <c r="D23" s="18"/>
      <c r="E23" s="19"/>
      <c r="F23" s="18"/>
      <c r="G23" s="18"/>
      <c r="H23" s="18"/>
      <c r="I23" s="19"/>
      <c r="J23" s="18"/>
      <c r="K23" s="56"/>
      <c r="L23" s="56"/>
      <c r="M23" s="19"/>
      <c r="N23" s="18"/>
      <c r="O23" s="18"/>
      <c r="P23" s="18"/>
      <c r="Q23" s="19"/>
      <c r="R23" s="18"/>
      <c r="S23" s="18"/>
      <c r="T23" s="18"/>
      <c r="U23" s="19"/>
      <c r="V23" s="18"/>
      <c r="W23" s="18"/>
      <c r="X23" s="18"/>
      <c r="Y23" s="19"/>
      <c r="Z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s="51"/>
    </row>
    <row r="24" spans="1:53" ht="15" customHeight="1">
      <c r="A24" s="11"/>
      <c r="B24" s="12" t="s">
        <v>7</v>
      </c>
      <c r="C24" s="13">
        <v>0</v>
      </c>
      <c r="D24" s="14"/>
      <c r="E24" s="10"/>
      <c r="F24" s="12" t="s">
        <v>7</v>
      </c>
      <c r="G24" s="13">
        <v>0</v>
      </c>
      <c r="H24" s="14"/>
      <c r="I24" s="10"/>
      <c r="J24" s="12" t="s">
        <v>7</v>
      </c>
      <c r="K24" s="13">
        <v>0</v>
      </c>
      <c r="L24" s="14"/>
      <c r="M24" s="10"/>
      <c r="N24" s="12" t="s">
        <v>7</v>
      </c>
      <c r="O24" s="13">
        <v>0</v>
      </c>
      <c r="P24" s="14"/>
      <c r="Q24" s="10"/>
      <c r="R24" s="12" t="s">
        <v>7</v>
      </c>
      <c r="S24" s="13">
        <v>0</v>
      </c>
      <c r="T24" s="14"/>
      <c r="U24" s="10"/>
      <c r="V24" s="12" t="s">
        <v>7</v>
      </c>
      <c r="W24" s="13">
        <v>0</v>
      </c>
      <c r="X24" s="14"/>
      <c r="Y24" s="10"/>
      <c r="Z24" s="12" t="s">
        <v>7</v>
      </c>
      <c r="AA24" s="44">
        <v>50000</v>
      </c>
      <c r="AB24" s="43"/>
      <c r="AC24" s="10"/>
      <c r="AD24" s="12" t="s">
        <v>7</v>
      </c>
      <c r="AE24" s="13">
        <v>0</v>
      </c>
      <c r="AF24" s="14"/>
      <c r="AG24" s="10"/>
      <c r="AH24" s="12" t="s">
        <v>7</v>
      </c>
      <c r="AI24" s="54">
        <v>72000</v>
      </c>
      <c r="AJ24" s="14"/>
      <c r="AK24" s="10"/>
      <c r="AL24" s="12" t="s">
        <v>7</v>
      </c>
      <c r="AM24" s="13">
        <v>0</v>
      </c>
      <c r="AN24" s="14"/>
      <c r="AO24" s="10"/>
      <c r="AP24" s="12" t="s">
        <v>7</v>
      </c>
      <c r="AQ24" s="13">
        <v>0</v>
      </c>
      <c r="AR24" s="14"/>
      <c r="AS24" s="10"/>
      <c r="AT24" s="12" t="s">
        <v>7</v>
      </c>
      <c r="AU24" s="13">
        <v>0</v>
      </c>
      <c r="AV24" s="14"/>
      <c r="AW24" s="10"/>
      <c r="AX24" s="12" t="s">
        <v>7</v>
      </c>
      <c r="AY24" s="13">
        <v>0</v>
      </c>
      <c r="AZ24" s="14"/>
      <c r="BA24" s="51"/>
    </row>
    <row r="25" spans="1:53" ht="15" customHeight="1">
      <c r="A25" s="11"/>
      <c r="B25" s="12" t="s">
        <v>6</v>
      </c>
      <c r="C25" s="15">
        <v>0</v>
      </c>
      <c r="D25" s="14"/>
      <c r="E25" s="10"/>
      <c r="F25" s="12" t="s">
        <v>6</v>
      </c>
      <c r="G25" s="15">
        <v>0</v>
      </c>
      <c r="H25" s="14"/>
      <c r="I25" s="10"/>
      <c r="J25" s="12" t="s">
        <v>6</v>
      </c>
      <c r="K25" s="15">
        <v>0</v>
      </c>
      <c r="L25" s="14"/>
      <c r="M25" s="10"/>
      <c r="N25" s="12" t="s">
        <v>6</v>
      </c>
      <c r="O25" s="15">
        <v>0</v>
      </c>
      <c r="P25" s="14"/>
      <c r="Q25" s="10"/>
      <c r="R25" s="12" t="s">
        <v>6</v>
      </c>
      <c r="S25" s="15">
        <v>0</v>
      </c>
      <c r="T25" s="14"/>
      <c r="U25" s="10"/>
      <c r="V25" s="12" t="s">
        <v>6</v>
      </c>
      <c r="W25" s="15">
        <v>0</v>
      </c>
      <c r="X25" s="14"/>
      <c r="Y25" s="10"/>
      <c r="Z25" s="12" t="s">
        <v>6</v>
      </c>
      <c r="AA25" s="44">
        <v>0</v>
      </c>
      <c r="AB25" s="43"/>
      <c r="AC25" s="10"/>
      <c r="AD25" s="12" t="s">
        <v>6</v>
      </c>
      <c r="AE25" s="15">
        <v>0</v>
      </c>
      <c r="AF25" s="14"/>
      <c r="AG25" s="10"/>
      <c r="AH25" s="12" t="s">
        <v>6</v>
      </c>
      <c r="AI25" s="15">
        <v>0</v>
      </c>
      <c r="AJ25" s="14"/>
      <c r="AK25" s="10"/>
      <c r="AL25" s="12" t="s">
        <v>6</v>
      </c>
      <c r="AM25" s="15">
        <v>0</v>
      </c>
      <c r="AN25" s="14"/>
      <c r="AO25" s="10"/>
      <c r="AP25" s="12" t="s">
        <v>6</v>
      </c>
      <c r="AQ25" s="15">
        <v>0</v>
      </c>
      <c r="AR25" s="14"/>
      <c r="AS25" s="10"/>
      <c r="AT25" s="12" t="s">
        <v>6</v>
      </c>
      <c r="AU25" s="15">
        <v>0</v>
      </c>
      <c r="AV25" s="14"/>
      <c r="AW25" s="10"/>
      <c r="AX25" s="12" t="s">
        <v>6</v>
      </c>
      <c r="AY25" s="15">
        <v>0</v>
      </c>
      <c r="AZ25" s="14"/>
      <c r="BA25" s="51"/>
    </row>
    <row r="26" spans="1:53" ht="15" customHeight="1">
      <c r="A26" s="11"/>
      <c r="B26" s="12" t="s">
        <v>5</v>
      </c>
      <c r="C26" s="13" t="s">
        <v>4</v>
      </c>
      <c r="D26" s="14"/>
      <c r="E26" s="10"/>
      <c r="F26" s="12" t="s">
        <v>5</v>
      </c>
      <c r="G26" s="13" t="s">
        <v>4</v>
      </c>
      <c r="H26" s="14"/>
      <c r="I26" s="10"/>
      <c r="J26" s="12" t="s">
        <v>5</v>
      </c>
      <c r="K26" s="13" t="s">
        <v>4</v>
      </c>
      <c r="L26" s="14"/>
      <c r="M26" s="10"/>
      <c r="N26" s="12" t="s">
        <v>5</v>
      </c>
      <c r="O26" s="13" t="s">
        <v>4</v>
      </c>
      <c r="P26" s="14"/>
      <c r="Q26" s="10"/>
      <c r="R26" s="12" t="s">
        <v>5</v>
      </c>
      <c r="S26" s="13" t="s">
        <v>4</v>
      </c>
      <c r="T26" s="14"/>
      <c r="U26" s="10"/>
      <c r="V26" s="12" t="s">
        <v>5</v>
      </c>
      <c r="W26" s="13" t="s">
        <v>4</v>
      </c>
      <c r="X26" s="14"/>
      <c r="Y26" s="10"/>
      <c r="Z26" s="12" t="s">
        <v>5</v>
      </c>
      <c r="AA26" s="44" t="s">
        <v>113</v>
      </c>
      <c r="AB26" s="43"/>
      <c r="AC26" s="10"/>
      <c r="AD26" s="12" t="s">
        <v>5</v>
      </c>
      <c r="AE26" s="13" t="s">
        <v>4</v>
      </c>
      <c r="AF26" s="14"/>
      <c r="AG26" s="10"/>
      <c r="AH26" s="12" t="s">
        <v>5</v>
      </c>
      <c r="AI26" s="54" t="s">
        <v>257</v>
      </c>
      <c r="AJ26" s="14"/>
      <c r="AK26" s="10"/>
      <c r="AL26" s="12" t="s">
        <v>5</v>
      </c>
      <c r="AM26" s="13" t="s">
        <v>4</v>
      </c>
      <c r="AN26" s="14"/>
      <c r="AO26" s="10"/>
      <c r="AP26" s="12" t="s">
        <v>5</v>
      </c>
      <c r="AQ26" s="13" t="s">
        <v>4</v>
      </c>
      <c r="AR26" s="14"/>
      <c r="AS26" s="10"/>
      <c r="AT26" s="12" t="s">
        <v>5</v>
      </c>
      <c r="AU26" s="13" t="s">
        <v>4</v>
      </c>
      <c r="AV26" s="14"/>
      <c r="AW26" s="10"/>
      <c r="AX26" s="12" t="s">
        <v>5</v>
      </c>
      <c r="AY26" s="13" t="s">
        <v>4</v>
      </c>
      <c r="AZ26" s="14"/>
      <c r="BA26" s="51"/>
    </row>
    <row r="27" spans="1:53" ht="15" customHeight="1">
      <c r="A27" s="11"/>
      <c r="B27" s="12" t="s">
        <v>11</v>
      </c>
      <c r="C27" s="15" t="s">
        <v>13</v>
      </c>
      <c r="D27" s="43">
        <v>0</v>
      </c>
      <c r="E27" s="9"/>
      <c r="F27" s="12" t="s">
        <v>11</v>
      </c>
      <c r="G27" s="15" t="s">
        <v>13</v>
      </c>
      <c r="H27" s="14">
        <v>0</v>
      </c>
      <c r="I27" s="10"/>
      <c r="J27" s="12" t="s">
        <v>11</v>
      </c>
      <c r="K27" s="15" t="s">
        <v>13</v>
      </c>
      <c r="L27" s="14">
        <v>0</v>
      </c>
      <c r="M27" s="10"/>
      <c r="N27" s="12" t="s">
        <v>11</v>
      </c>
      <c r="O27" s="15" t="s">
        <v>13</v>
      </c>
      <c r="P27" s="14">
        <v>0</v>
      </c>
      <c r="Q27" s="10"/>
      <c r="R27" s="12" t="s">
        <v>11</v>
      </c>
      <c r="S27" s="15" t="s">
        <v>13</v>
      </c>
      <c r="T27" s="14">
        <v>0</v>
      </c>
      <c r="U27" s="10"/>
      <c r="V27" s="12" t="s">
        <v>11</v>
      </c>
      <c r="W27" s="15" t="s">
        <v>13</v>
      </c>
      <c r="X27" s="14">
        <v>0</v>
      </c>
      <c r="Y27" s="10"/>
      <c r="Z27" s="12" t="s">
        <v>11</v>
      </c>
      <c r="AA27" s="44" t="s">
        <v>131</v>
      </c>
      <c r="AB27" s="43">
        <v>1999</v>
      </c>
      <c r="AC27" s="10"/>
      <c r="AD27" s="12" t="s">
        <v>11</v>
      </c>
      <c r="AE27" s="15" t="s">
        <v>13</v>
      </c>
      <c r="AF27" s="14">
        <v>0</v>
      </c>
      <c r="AG27" s="10"/>
      <c r="AH27" s="12" t="s">
        <v>11</v>
      </c>
      <c r="AI27" s="54" t="s">
        <v>131</v>
      </c>
      <c r="AJ27" s="55">
        <v>2000</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s="51"/>
    </row>
    <row r="28" spans="1:53" ht="15" customHeight="1">
      <c r="A28" s="11"/>
      <c r="B28" s="12" t="s">
        <v>12</v>
      </c>
      <c r="C28" s="15" t="s">
        <v>13</v>
      </c>
      <c r="D28" s="14">
        <v>0</v>
      </c>
      <c r="E28" s="9"/>
      <c r="F28" s="12" t="s">
        <v>12</v>
      </c>
      <c r="G28" s="15" t="s">
        <v>13</v>
      </c>
      <c r="H28" s="16">
        <v>0</v>
      </c>
      <c r="I28" s="10"/>
      <c r="J28" s="12" t="s">
        <v>12</v>
      </c>
      <c r="K28" s="15" t="s">
        <v>13</v>
      </c>
      <c r="L28" s="14">
        <v>0</v>
      </c>
      <c r="M28" s="10"/>
      <c r="N28" s="12" t="s">
        <v>12</v>
      </c>
      <c r="O28" s="15" t="s">
        <v>13</v>
      </c>
      <c r="P28" s="16">
        <v>0</v>
      </c>
      <c r="Q28" s="10"/>
      <c r="R28" s="12" t="s">
        <v>12</v>
      </c>
      <c r="S28" s="15" t="s">
        <v>13</v>
      </c>
      <c r="T28" s="16">
        <v>0</v>
      </c>
      <c r="U28" s="10"/>
      <c r="V28" s="12" t="s">
        <v>12</v>
      </c>
      <c r="W28" s="15" t="s">
        <v>13</v>
      </c>
      <c r="X28" s="16">
        <v>0</v>
      </c>
      <c r="Y28" s="10"/>
      <c r="Z28" s="12" t="s">
        <v>12</v>
      </c>
      <c r="AA28" s="15" t="s">
        <v>13</v>
      </c>
      <c r="AB28" s="14">
        <v>0</v>
      </c>
      <c r="AC28" s="10"/>
      <c r="AD28" s="12" t="s">
        <v>12</v>
      </c>
      <c r="AE28" s="15" t="s">
        <v>13</v>
      </c>
      <c r="AF28" s="16">
        <v>0</v>
      </c>
      <c r="AG28" s="10"/>
      <c r="AH28" s="12" t="s">
        <v>12</v>
      </c>
      <c r="AI28" s="44" t="s">
        <v>268</v>
      </c>
      <c r="AJ28" s="43">
        <v>5000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s="51"/>
    </row>
    <row r="29" spans="1:53" ht="15" customHeight="1">
      <c r="A29" s="11"/>
      <c r="B29" s="12" t="s">
        <v>14</v>
      </c>
      <c r="C29" s="15" t="s">
        <v>13</v>
      </c>
      <c r="D29" s="14">
        <v>0</v>
      </c>
      <c r="E29" s="9"/>
      <c r="F29" s="12" t="s">
        <v>14</v>
      </c>
      <c r="G29" s="15" t="s">
        <v>13</v>
      </c>
      <c r="H29" s="14">
        <v>0</v>
      </c>
      <c r="I29" s="10"/>
      <c r="J29" s="12" t="s">
        <v>14</v>
      </c>
      <c r="K29" s="15" t="s">
        <v>13</v>
      </c>
      <c r="L29" s="14">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15" t="s">
        <v>13</v>
      </c>
      <c r="AJ29" s="14">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s="51"/>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s="51"/>
    </row>
    <row r="31" spans="1:53" ht="15" customHeight="1">
      <c r="A31" s="11"/>
      <c r="B31" s="12" t="s">
        <v>7</v>
      </c>
      <c r="C31" s="13">
        <v>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44">
        <v>49000</v>
      </c>
      <c r="AB31" s="43"/>
      <c r="AC31" s="10"/>
      <c r="AD31" s="12" t="s">
        <v>7</v>
      </c>
      <c r="AE31" s="13">
        <v>0</v>
      </c>
      <c r="AF31" s="14"/>
      <c r="AG31" s="10"/>
      <c r="AH31" s="12" t="s">
        <v>7</v>
      </c>
      <c r="AI31" s="44">
        <v>69000</v>
      </c>
      <c r="AJ31" s="14"/>
      <c r="AK31" s="10"/>
      <c r="AL31" s="12" t="s">
        <v>7</v>
      </c>
      <c r="AM31" s="13">
        <v>0</v>
      </c>
      <c r="AN31" s="14"/>
      <c r="AO31" s="10"/>
      <c r="AP31" s="12" t="s">
        <v>7</v>
      </c>
      <c r="AQ31" s="13">
        <v>0</v>
      </c>
      <c r="AR31" s="14"/>
      <c r="AS31" s="10"/>
      <c r="AT31" s="12" t="s">
        <v>7</v>
      </c>
      <c r="AU31" s="13">
        <v>0</v>
      </c>
      <c r="AV31" s="14"/>
      <c r="AW31" s="10"/>
      <c r="AX31" s="12" t="s">
        <v>7</v>
      </c>
      <c r="AY31" s="13">
        <v>0</v>
      </c>
      <c r="AZ31" s="14"/>
      <c r="BA31" s="5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44">
        <v>0</v>
      </c>
      <c r="AB32" s="43"/>
      <c r="AC32" s="10"/>
      <c r="AD32" s="12" t="s">
        <v>6</v>
      </c>
      <c r="AE32" s="15">
        <v>0</v>
      </c>
      <c r="AF32" s="14"/>
      <c r="AG32" s="10"/>
      <c r="AH32" s="12" t="s">
        <v>6</v>
      </c>
      <c r="AI32" s="15">
        <v>0</v>
      </c>
      <c r="AJ32" s="14"/>
      <c r="AK32" s="10"/>
      <c r="AL32" s="12" t="s">
        <v>6</v>
      </c>
      <c r="AM32" s="15">
        <v>0</v>
      </c>
      <c r="AN32" s="14"/>
      <c r="AO32" s="10"/>
      <c r="AP32" s="12" t="s">
        <v>6</v>
      </c>
      <c r="AQ32" s="15">
        <v>0</v>
      </c>
      <c r="AR32" s="14"/>
      <c r="AS32" s="10"/>
      <c r="AT32" s="12" t="s">
        <v>6</v>
      </c>
      <c r="AU32" s="15">
        <v>0</v>
      </c>
      <c r="AV32" s="14"/>
      <c r="AW32" s="10"/>
      <c r="AX32" s="12" t="s">
        <v>6</v>
      </c>
      <c r="AY32" s="15">
        <v>0</v>
      </c>
      <c r="AZ32" s="14"/>
      <c r="BA32" s="51"/>
    </row>
    <row r="33" spans="1:53" ht="15" customHeight="1">
      <c r="A33" s="11"/>
      <c r="B33" s="12" t="s">
        <v>5</v>
      </c>
      <c r="C33" s="13" t="s">
        <v>4</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44" t="s">
        <v>112</v>
      </c>
      <c r="AB33" s="43"/>
      <c r="AC33" s="10"/>
      <c r="AD33" s="12" t="s">
        <v>5</v>
      </c>
      <c r="AE33" s="13" t="s">
        <v>4</v>
      </c>
      <c r="AF33" s="14"/>
      <c r="AG33" s="10"/>
      <c r="AH33" s="12" t="s">
        <v>5</v>
      </c>
      <c r="AI33" s="54" t="s">
        <v>266</v>
      </c>
      <c r="AJ33" s="14"/>
      <c r="AK33" s="10"/>
      <c r="AL33" s="12" t="s">
        <v>5</v>
      </c>
      <c r="AM33" s="13" t="s">
        <v>4</v>
      </c>
      <c r="AN33" s="14"/>
      <c r="AO33" s="10"/>
      <c r="AP33" s="12" t="s">
        <v>5</v>
      </c>
      <c r="AQ33" s="13" t="s">
        <v>4</v>
      </c>
      <c r="AR33" s="14"/>
      <c r="AS33" s="10"/>
      <c r="AT33" s="12" t="s">
        <v>5</v>
      </c>
      <c r="AU33" s="13" t="s">
        <v>4</v>
      </c>
      <c r="AV33" s="14"/>
      <c r="AW33" s="10"/>
      <c r="AX33" s="12" t="s">
        <v>5</v>
      </c>
      <c r="AY33" s="13" t="s">
        <v>4</v>
      </c>
      <c r="AZ33" s="14"/>
      <c r="BA33" s="51"/>
    </row>
    <row r="34" spans="1:53" ht="15" customHeight="1">
      <c r="A34" s="11"/>
      <c r="B34" s="12" t="s">
        <v>11</v>
      </c>
      <c r="C34" s="15" t="s">
        <v>13</v>
      </c>
      <c r="D34" s="43">
        <v>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44" t="s">
        <v>131</v>
      </c>
      <c r="AB34" s="43">
        <v>1999</v>
      </c>
      <c r="AC34" s="10"/>
      <c r="AD34" s="12" t="s">
        <v>11</v>
      </c>
      <c r="AE34" s="15" t="s">
        <v>13</v>
      </c>
      <c r="AF34" s="14">
        <v>0</v>
      </c>
      <c r="AG34" s="10"/>
      <c r="AH34" s="12" t="s">
        <v>11</v>
      </c>
      <c r="AI34" s="54" t="s">
        <v>131</v>
      </c>
      <c r="AJ34" s="43">
        <v>2000</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s="51"/>
    </row>
    <row r="35" spans="1:53" ht="15" customHeight="1">
      <c r="A35" s="11"/>
      <c r="B35" s="12" t="s">
        <v>12</v>
      </c>
      <c r="C35" s="15" t="s">
        <v>13</v>
      </c>
      <c r="D35" s="43">
        <v>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4">
        <v>0</v>
      </c>
      <c r="AC35" s="10"/>
      <c r="AD35" s="12" t="s">
        <v>12</v>
      </c>
      <c r="AE35" s="15" t="s">
        <v>13</v>
      </c>
      <c r="AF35" s="16">
        <v>0</v>
      </c>
      <c r="AG35" s="10"/>
      <c r="AH35" s="12" t="s">
        <v>12</v>
      </c>
      <c r="AI35" s="15" t="s">
        <v>13</v>
      </c>
      <c r="AJ35" s="16">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s="51"/>
    </row>
    <row r="36" spans="1:53" ht="15" customHeight="1">
      <c r="A36" s="11"/>
      <c r="B36" s="12" t="s">
        <v>14</v>
      </c>
      <c r="C36" s="15" t="s">
        <v>13</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s="51"/>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s="51"/>
    </row>
    <row r="38" spans="1:53" ht="15" customHeight="1">
      <c r="A38" s="11"/>
      <c r="B38" s="12" t="s">
        <v>7</v>
      </c>
      <c r="C38" s="44">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44">
        <v>48000</v>
      </c>
      <c r="AB38" s="43"/>
      <c r="AC38" s="10"/>
      <c r="AD38" s="12" t="s">
        <v>7</v>
      </c>
      <c r="AE38" s="13">
        <v>0</v>
      </c>
      <c r="AF38" s="14"/>
      <c r="AG38" s="10"/>
      <c r="AH38" s="12" t="s">
        <v>7</v>
      </c>
      <c r="AI38" s="44">
        <v>67000</v>
      </c>
      <c r="AJ38" s="14"/>
      <c r="AK38" s="10"/>
      <c r="AL38" s="12" t="s">
        <v>7</v>
      </c>
      <c r="AM38" s="13">
        <v>0</v>
      </c>
      <c r="AN38" s="14"/>
      <c r="AO38" s="10"/>
      <c r="AP38" s="12" t="s">
        <v>7</v>
      </c>
      <c r="AQ38" s="13">
        <v>0</v>
      </c>
      <c r="AR38" s="14"/>
      <c r="AS38" s="10"/>
      <c r="AT38" s="12" t="s">
        <v>7</v>
      </c>
      <c r="AU38" s="13">
        <v>0</v>
      </c>
      <c r="AV38" s="14"/>
      <c r="AW38" s="10"/>
      <c r="AX38" s="12" t="s">
        <v>7</v>
      </c>
      <c r="AY38" s="13">
        <v>0</v>
      </c>
      <c r="AZ38" s="14"/>
      <c r="BA38" s="51"/>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44">
        <v>0</v>
      </c>
      <c r="AB39" s="43"/>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s="51"/>
    </row>
    <row r="40" spans="1:53"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44" t="s">
        <v>33</v>
      </c>
      <c r="AB40" s="43"/>
      <c r="AC40" s="10"/>
      <c r="AD40" s="12" t="s">
        <v>5</v>
      </c>
      <c r="AE40" s="13" t="s">
        <v>4</v>
      </c>
      <c r="AF40" s="14"/>
      <c r="AG40" s="10"/>
      <c r="AH40" s="12" t="s">
        <v>5</v>
      </c>
      <c r="AI40" s="54" t="s">
        <v>267</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s="51"/>
    </row>
    <row r="41" spans="1:53" ht="15" customHeight="1">
      <c r="A41" s="11"/>
      <c r="B41" s="12" t="s">
        <v>11</v>
      </c>
      <c r="C41" s="15" t="s">
        <v>13</v>
      </c>
      <c r="D41" s="43">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44" t="s">
        <v>131</v>
      </c>
      <c r="AB41" s="43">
        <v>1999</v>
      </c>
      <c r="AC41" s="10"/>
      <c r="AD41" s="12" t="s">
        <v>11</v>
      </c>
      <c r="AE41" s="15" t="s">
        <v>13</v>
      </c>
      <c r="AF41" s="14">
        <v>0</v>
      </c>
      <c r="AG41" s="10"/>
      <c r="AH41" s="12" t="s">
        <v>11</v>
      </c>
      <c r="AI41" s="54" t="s">
        <v>131</v>
      </c>
      <c r="AJ41" s="55">
        <v>2000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s="51"/>
    </row>
    <row r="42" spans="1:53" ht="15" customHeight="1">
      <c r="A42" s="11"/>
      <c r="B42" s="12" t="s">
        <v>12</v>
      </c>
      <c r="C42" s="15" t="s">
        <v>13</v>
      </c>
      <c r="D42" s="43">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4">
        <v>0</v>
      </c>
      <c r="AC42" s="10"/>
      <c r="AD42" s="12" t="s">
        <v>12</v>
      </c>
      <c r="AE42" s="15" t="s">
        <v>13</v>
      </c>
      <c r="AF42" s="16">
        <v>0</v>
      </c>
      <c r="AG42" s="10"/>
      <c r="AH42" s="12" t="s">
        <v>12</v>
      </c>
      <c r="AI42" s="15" t="s">
        <v>13</v>
      </c>
      <c r="AJ42" s="16">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s="51"/>
    </row>
    <row r="43" spans="1:53" ht="15" customHeight="1">
      <c r="A43" s="11"/>
      <c r="B43" s="12" t="s">
        <v>14</v>
      </c>
      <c r="C43" s="15" t="s">
        <v>13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s="51"/>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s="51"/>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44">
        <v>65000</v>
      </c>
      <c r="AJ45" s="14"/>
      <c r="AK45" s="10"/>
      <c r="AL45" s="12" t="s">
        <v>7</v>
      </c>
      <c r="AM45" s="13">
        <v>0</v>
      </c>
      <c r="AN45" s="14"/>
      <c r="AO45" s="10"/>
      <c r="AP45" s="12" t="s">
        <v>7</v>
      </c>
      <c r="AQ45" s="13">
        <v>0</v>
      </c>
      <c r="AR45" s="14"/>
      <c r="AS45" s="10"/>
      <c r="AT45" s="12" t="s">
        <v>7</v>
      </c>
      <c r="AU45" s="13">
        <v>0</v>
      </c>
      <c r="AV45" s="14"/>
      <c r="AW45" s="10"/>
      <c r="AX45" s="12" t="s">
        <v>7</v>
      </c>
      <c r="AY45" s="13">
        <v>0</v>
      </c>
      <c r="AZ45" s="14"/>
      <c r="BA45" s="51"/>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s="51"/>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54" t="s">
        <v>269</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s="51"/>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54" t="s">
        <v>131</v>
      </c>
      <c r="AJ48" s="43">
        <v>2000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s="51"/>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6">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s="51"/>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s="51"/>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s="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13">
        <v>0</v>
      </c>
      <c r="AJ52" s="14"/>
      <c r="AK52" s="10"/>
      <c r="AL52" s="12" t="s">
        <v>7</v>
      </c>
      <c r="AM52" s="13">
        <v>0</v>
      </c>
      <c r="AN52" s="14"/>
      <c r="AO52" s="10"/>
      <c r="AP52" s="12" t="s">
        <v>7</v>
      </c>
      <c r="AQ52" s="13">
        <v>0</v>
      </c>
      <c r="AR52" s="14"/>
      <c r="AS52" s="10"/>
      <c r="AT52" s="12" t="s">
        <v>7</v>
      </c>
      <c r="AU52" s="13">
        <v>0</v>
      </c>
      <c r="AV52" s="14"/>
      <c r="AW52" s="10"/>
      <c r="AX52" s="12" t="s">
        <v>7</v>
      </c>
      <c r="AY52" s="13">
        <v>0</v>
      </c>
      <c r="AZ52" s="14"/>
      <c r="BA52" s="51"/>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s="51"/>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13" t="s">
        <v>4</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s="51"/>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15" t="s">
        <v>13</v>
      </c>
      <c r="AJ55" s="14">
        <v>0</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s="51"/>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s="51"/>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s="51"/>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s="51"/>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s="51"/>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s="51"/>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s="5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s="51"/>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s="51"/>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s="51"/>
    </row>
    <row r="65" spans="1:53"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s="51"/>
    </row>
    <row r="66" spans="1:53"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s="51"/>
    </row>
    <row r="67" spans="1:53"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s="51"/>
    </row>
    <row r="68" spans="1:53"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s="51"/>
    </row>
    <row r="69" spans="1:53"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s="51"/>
    </row>
    <row r="70" spans="1:53"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s="51"/>
    </row>
    <row r="71" spans="1:53"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s="51"/>
    </row>
    <row r="72" spans="1:53"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s="51"/>
    </row>
    <row r="73" spans="1:53" ht="15" customHeight="1">
      <c r="A73" s="11"/>
      <c r="B73" s="22" t="s">
        <v>8</v>
      </c>
      <c r="C73" s="23">
        <v>200</v>
      </c>
      <c r="D73" s="24"/>
      <c r="E73" s="25"/>
      <c r="F73" s="22" t="s">
        <v>8</v>
      </c>
      <c r="G73" s="23">
        <v>1000</v>
      </c>
      <c r="H73" s="24"/>
      <c r="I73" s="25"/>
      <c r="J73" s="22" t="s">
        <v>8</v>
      </c>
      <c r="K73" s="23">
        <v>1000</v>
      </c>
      <c r="L73" s="24"/>
      <c r="M73" s="25"/>
      <c r="N73" s="22" t="s">
        <v>8</v>
      </c>
      <c r="O73" s="23">
        <v>2000</v>
      </c>
      <c r="P73" s="24"/>
      <c r="Q73" s="25"/>
      <c r="R73" s="22" t="s">
        <v>8</v>
      </c>
      <c r="S73" s="23">
        <v>0</v>
      </c>
      <c r="T73" s="24"/>
      <c r="U73" s="25"/>
      <c r="V73" s="22" t="s">
        <v>8</v>
      </c>
      <c r="W73" s="23">
        <v>5000</v>
      </c>
      <c r="X73" s="24"/>
      <c r="Y73" s="25"/>
      <c r="Z73" s="22" t="s">
        <v>8</v>
      </c>
      <c r="AA73" s="23">
        <v>1000</v>
      </c>
      <c r="AB73" s="24"/>
      <c r="AC73" s="25"/>
      <c r="AD73" s="22" t="s">
        <v>8</v>
      </c>
      <c r="AE73" s="23">
        <v>1000</v>
      </c>
      <c r="AF73" s="24"/>
      <c r="AG73" s="25"/>
      <c r="AH73" s="22" t="s">
        <v>8</v>
      </c>
      <c r="AI73" s="23">
        <v>1000</v>
      </c>
      <c r="AJ73" s="24"/>
      <c r="AK73" s="25"/>
      <c r="AL73" s="22" t="s">
        <v>8</v>
      </c>
      <c r="AM73" s="23">
        <v>0</v>
      </c>
      <c r="AN73" s="24"/>
      <c r="AO73" s="25"/>
      <c r="AP73" s="22" t="s">
        <v>8</v>
      </c>
      <c r="AQ73" s="23">
        <v>0</v>
      </c>
      <c r="AR73" s="24"/>
      <c r="AS73" s="25"/>
      <c r="AT73" s="22" t="s">
        <v>8</v>
      </c>
      <c r="AU73" s="23">
        <v>0</v>
      </c>
      <c r="AV73" s="24"/>
      <c r="AW73" s="25"/>
      <c r="AX73" s="22" t="s">
        <v>8</v>
      </c>
      <c r="AY73" s="23">
        <v>0</v>
      </c>
      <c r="AZ73" s="24"/>
      <c r="BA73" s="51"/>
    </row>
    <row r="74" spans="1:53"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1</v>
      </c>
      <c r="X74" s="28"/>
      <c r="Y74" s="25"/>
      <c r="Z74" s="26" t="s">
        <v>10</v>
      </c>
      <c r="AA74" s="45">
        <v>1</v>
      </c>
      <c r="AB74" s="28"/>
      <c r="AC74" s="25"/>
      <c r="AD74" s="26" t="s">
        <v>10</v>
      </c>
      <c r="AE74" s="27">
        <v>1</v>
      </c>
      <c r="AF74" s="28"/>
      <c r="AG74" s="25"/>
      <c r="AH74" s="26" t="s">
        <v>10</v>
      </c>
      <c r="AI74" s="45">
        <v>1</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s="51"/>
    </row>
    <row r="75" spans="1:53" s="32" customFormat="1" ht="15.7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22</v>
      </c>
      <c r="AN75" s="28"/>
      <c r="AO75" s="31"/>
      <c r="AP75" s="26" t="s">
        <v>18</v>
      </c>
      <c r="AQ75" s="27" t="s">
        <v>22</v>
      </c>
      <c r="AR75" s="28"/>
      <c r="AS75" s="31"/>
      <c r="AT75" s="26" t="s">
        <v>18</v>
      </c>
      <c r="AU75" s="27" t="s">
        <v>22</v>
      </c>
      <c r="AV75" s="28"/>
      <c r="AW75" s="31"/>
      <c r="AX75" s="26" t="s">
        <v>18</v>
      </c>
      <c r="AY75" s="27" t="s">
        <v>22</v>
      </c>
      <c r="AZ75" s="28"/>
      <c r="BA75" s="51"/>
    </row>
    <row r="76" spans="1:53" s="7" customFormat="1" ht="15.75">
      <c r="A76" s="51"/>
      <c r="B76" s="51"/>
      <c r="C76" s="51"/>
      <c r="D76" s="51"/>
      <c r="E76" s="51"/>
      <c r="F76" s="51"/>
      <c r="G76" s="51"/>
      <c r="H76" s="51"/>
      <c r="I76" s="5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row>
    <row r="77" spans="1:53" s="7" customFormat="1" ht="15.75">
      <c r="A77" s="51"/>
      <c r="B77" s="35" t="s">
        <v>119</v>
      </c>
      <c r="C77" s="36" t="s">
        <v>68</v>
      </c>
      <c r="D77" s="4" t="s">
        <v>36</v>
      </c>
      <c r="E77" s="51"/>
      <c r="F77" s="35" t="s">
        <v>119</v>
      </c>
      <c r="G77" s="36" t="s">
        <v>132</v>
      </c>
      <c r="H77" s="4" t="s">
        <v>36</v>
      </c>
      <c r="I77" s="51"/>
      <c r="J77" s="35" t="s">
        <v>5</v>
      </c>
      <c r="K77" s="47" t="s">
        <v>33</v>
      </c>
      <c r="L77" s="48" t="s">
        <v>36</v>
      </c>
      <c r="M77" s="51"/>
      <c r="N77" s="35" t="s">
        <v>5</v>
      </c>
      <c r="O77" s="36" t="s">
        <v>19</v>
      </c>
      <c r="P77" s="4" t="s">
        <v>37</v>
      </c>
      <c r="Q77" s="51"/>
      <c r="R77" s="35" t="s">
        <v>5</v>
      </c>
      <c r="S77" s="36" t="s">
        <v>51</v>
      </c>
      <c r="T77" s="4" t="s">
        <v>36</v>
      </c>
      <c r="U77" s="51"/>
      <c r="V77" s="35" t="s">
        <v>5</v>
      </c>
      <c r="W77" s="36" t="s">
        <v>52</v>
      </c>
      <c r="X77" s="48" t="s">
        <v>37</v>
      </c>
      <c r="Y77" s="51"/>
      <c r="Z77" s="35" t="s">
        <v>5</v>
      </c>
      <c r="AA77" s="36" t="s">
        <v>53</v>
      </c>
      <c r="AB77" s="48" t="s">
        <v>37</v>
      </c>
      <c r="AC77" s="51"/>
      <c r="AD77" s="35" t="s">
        <v>5</v>
      </c>
      <c r="AE77" s="36" t="s">
        <v>143</v>
      </c>
      <c r="AF77" s="4" t="s">
        <v>37</v>
      </c>
      <c r="AG77" s="51"/>
      <c r="AH77" s="35" t="s">
        <v>5</v>
      </c>
      <c r="AI77" s="36" t="s">
        <v>144</v>
      </c>
      <c r="AJ77" s="4" t="s">
        <v>36</v>
      </c>
      <c r="AK77" s="51"/>
      <c r="AL77" s="35" t="s">
        <v>5</v>
      </c>
      <c r="AM77" s="36" t="s">
        <v>145</v>
      </c>
      <c r="AN77" s="4" t="s">
        <v>37</v>
      </c>
      <c r="AO77" s="51"/>
      <c r="AP77" s="35" t="s">
        <v>5</v>
      </c>
      <c r="AQ77" s="36" t="s">
        <v>145</v>
      </c>
      <c r="AR77" s="4" t="s">
        <v>37</v>
      </c>
      <c r="AS77" s="51"/>
      <c r="AT77" s="35" t="s">
        <v>5</v>
      </c>
      <c r="AU77" s="36" t="s">
        <v>145</v>
      </c>
      <c r="AV77" s="4" t="s">
        <v>37</v>
      </c>
      <c r="AW77" s="51"/>
      <c r="AX77" s="35" t="s">
        <v>5</v>
      </c>
      <c r="AY77" s="47" t="s">
        <v>193</v>
      </c>
      <c r="AZ77" s="48" t="s">
        <v>36</v>
      </c>
      <c r="BA77" s="51"/>
    </row>
    <row r="78" spans="1:53" s="7" customFormat="1" ht="15.75">
      <c r="A78" s="51"/>
      <c r="B78" s="35" t="s">
        <v>38</v>
      </c>
      <c r="C78" s="36" t="s">
        <v>126</v>
      </c>
      <c r="D78" s="38" t="s">
        <v>120</v>
      </c>
      <c r="E78" s="51"/>
      <c r="F78" s="35" t="s">
        <v>38</v>
      </c>
      <c r="G78" s="36" t="s">
        <v>126</v>
      </c>
      <c r="H78" s="38" t="s">
        <v>120</v>
      </c>
      <c r="I78" s="51"/>
      <c r="J78" s="35" t="s">
        <v>38</v>
      </c>
      <c r="K78" s="47" t="s">
        <v>42</v>
      </c>
      <c r="L78" s="47">
        <v>0</v>
      </c>
      <c r="M78" s="51"/>
      <c r="N78" s="35" t="s">
        <v>38</v>
      </c>
      <c r="O78" s="36" t="s">
        <v>43</v>
      </c>
      <c r="P78" s="38">
        <v>15</v>
      </c>
      <c r="Q78" s="51"/>
      <c r="R78" s="35" t="s">
        <v>38</v>
      </c>
      <c r="S78" s="36" t="s">
        <v>62</v>
      </c>
      <c r="T78" s="38" t="s">
        <v>63</v>
      </c>
      <c r="U78" s="51"/>
      <c r="V78" s="35" t="s">
        <v>38</v>
      </c>
      <c r="W78" s="36" t="s">
        <v>62</v>
      </c>
      <c r="X78" s="38" t="s">
        <v>64</v>
      </c>
      <c r="Y78" s="51"/>
      <c r="Z78" s="35" t="s">
        <v>38</v>
      </c>
      <c r="AA78" s="36" t="s">
        <v>62</v>
      </c>
      <c r="AB78" s="38" t="s">
        <v>65</v>
      </c>
      <c r="AC78" s="51"/>
      <c r="AD78" s="35" t="s">
        <v>38</v>
      </c>
      <c r="AE78" s="36" t="s">
        <v>43</v>
      </c>
      <c r="AF78" s="38" t="s">
        <v>146</v>
      </c>
      <c r="AG78" s="51"/>
      <c r="AH78" s="35" t="s">
        <v>38</v>
      </c>
      <c r="AI78" s="36" t="s">
        <v>42</v>
      </c>
      <c r="AJ78" s="36">
        <v>0</v>
      </c>
      <c r="AK78" s="51"/>
      <c r="AL78" s="35" t="s">
        <v>38</v>
      </c>
      <c r="AM78" s="36" t="s">
        <v>147</v>
      </c>
      <c r="AN78" s="36">
        <v>1</v>
      </c>
      <c r="AO78" s="51"/>
      <c r="AP78" s="35" t="s">
        <v>38</v>
      </c>
      <c r="AQ78" s="36" t="s">
        <v>147</v>
      </c>
      <c r="AR78" s="36">
        <v>2</v>
      </c>
      <c r="AS78" s="51"/>
      <c r="AT78" s="35" t="s">
        <v>38</v>
      </c>
      <c r="AU78" s="36" t="s">
        <v>147</v>
      </c>
      <c r="AV78" s="36">
        <v>3</v>
      </c>
      <c r="AW78" s="51"/>
      <c r="AX78" s="35" t="s">
        <v>38</v>
      </c>
      <c r="AY78" s="47" t="s">
        <v>194</v>
      </c>
      <c r="AZ78" s="49" t="s">
        <v>65</v>
      </c>
      <c r="BA78" s="51"/>
    </row>
    <row r="79" spans="1:53" s="7" customFormat="1" ht="15.75">
      <c r="A79" s="51"/>
      <c r="B79" s="35" t="s">
        <v>38</v>
      </c>
      <c r="C79" s="36" t="s">
        <v>125</v>
      </c>
      <c r="D79" s="38" t="s">
        <v>134</v>
      </c>
      <c r="E79" s="51"/>
      <c r="F79" s="35" t="s">
        <v>38</v>
      </c>
      <c r="G79" s="36" t="s">
        <v>125</v>
      </c>
      <c r="H79" s="38" t="s">
        <v>134</v>
      </c>
      <c r="I79" s="51"/>
      <c r="J79" s="35" t="s">
        <v>38</v>
      </c>
      <c r="K79" s="47" t="s">
        <v>39</v>
      </c>
      <c r="L79" s="47">
        <v>2000</v>
      </c>
      <c r="M79" s="51"/>
      <c r="N79" s="35" t="s">
        <v>38</v>
      </c>
      <c r="O79" s="36" t="s">
        <v>44</v>
      </c>
      <c r="P79" s="38" t="s">
        <v>45</v>
      </c>
      <c r="Q79" s="51"/>
      <c r="R79" s="35" t="s">
        <v>38</v>
      </c>
      <c r="S79" s="36" t="s">
        <v>54</v>
      </c>
      <c r="T79" s="49" t="s">
        <v>235</v>
      </c>
      <c r="U79" s="51"/>
      <c r="V79" s="35" t="s">
        <v>38</v>
      </c>
      <c r="W79" s="36" t="s">
        <v>54</v>
      </c>
      <c r="X79" s="38" t="s">
        <v>115</v>
      </c>
      <c r="Y79" s="51"/>
      <c r="Z79" s="35" t="s">
        <v>38</v>
      </c>
      <c r="AA79" s="36" t="s">
        <v>54</v>
      </c>
      <c r="AB79" s="38" t="s">
        <v>118</v>
      </c>
      <c r="AC79" s="51"/>
      <c r="AD79" s="35" t="s">
        <v>38</v>
      </c>
      <c r="AE79" s="36" t="s">
        <v>148</v>
      </c>
      <c r="AF79" s="38" t="s">
        <v>64</v>
      </c>
      <c r="AG79" s="51"/>
      <c r="AH79" s="35" t="s">
        <v>38</v>
      </c>
      <c r="AI79" s="36" t="s">
        <v>149</v>
      </c>
      <c r="AJ79" s="47">
        <v>400</v>
      </c>
      <c r="AK79" s="51"/>
      <c r="AL79" s="35" t="s">
        <v>38</v>
      </c>
      <c r="AM79" s="36" t="s">
        <v>150</v>
      </c>
      <c r="AN79" s="36">
        <v>1200</v>
      </c>
      <c r="AO79" s="51"/>
      <c r="AP79" s="35" t="s">
        <v>38</v>
      </c>
      <c r="AQ79" s="36" t="s">
        <v>150</v>
      </c>
      <c r="AR79" s="36">
        <v>600</v>
      </c>
      <c r="AS79" s="51"/>
      <c r="AT79" s="35" t="s">
        <v>38</v>
      </c>
      <c r="AU79" s="36" t="s">
        <v>150</v>
      </c>
      <c r="AV79" s="36">
        <v>300</v>
      </c>
      <c r="AW79" s="51"/>
      <c r="AX79" s="35" t="s">
        <v>38</v>
      </c>
      <c r="AY79" s="47" t="s">
        <v>195</v>
      </c>
      <c r="AZ79" s="49" t="s">
        <v>196</v>
      </c>
      <c r="BA79" s="51"/>
    </row>
    <row r="80" spans="1:53" s="7" customFormat="1" ht="15.75">
      <c r="A80" s="51"/>
      <c r="B80" s="35" t="s">
        <v>38</v>
      </c>
      <c r="C80" s="36" t="s">
        <v>126</v>
      </c>
      <c r="D80" s="38" t="s">
        <v>121</v>
      </c>
      <c r="E80" s="51"/>
      <c r="F80" s="35" t="s">
        <v>38</v>
      </c>
      <c r="G80" s="36" t="s">
        <v>126</v>
      </c>
      <c r="H80" s="38" t="s">
        <v>121</v>
      </c>
      <c r="I80" s="51"/>
      <c r="J80" s="35" t="s">
        <v>38</v>
      </c>
      <c r="K80" s="47" t="s">
        <v>40</v>
      </c>
      <c r="L80" s="47">
        <v>1000</v>
      </c>
      <c r="M80" s="51"/>
      <c r="N80" s="35" t="s">
        <v>38</v>
      </c>
      <c r="O80" s="36" t="s">
        <v>46</v>
      </c>
      <c r="P80" s="38" t="s">
        <v>47</v>
      </c>
      <c r="Q80" s="51"/>
      <c r="R80" s="35" t="s">
        <v>38</v>
      </c>
      <c r="S80" s="36" t="s">
        <v>67</v>
      </c>
      <c r="T80" s="38" t="s">
        <v>260</v>
      </c>
      <c r="U80" s="51"/>
      <c r="V80" s="35" t="s">
        <v>38</v>
      </c>
      <c r="W80" s="36" t="s">
        <v>67</v>
      </c>
      <c r="X80" s="38" t="s">
        <v>117</v>
      </c>
      <c r="Y80" s="51"/>
      <c r="Z80" s="35" t="s">
        <v>38</v>
      </c>
      <c r="AA80" s="36" t="s">
        <v>67</v>
      </c>
      <c r="AB80" s="38" t="s">
        <v>117</v>
      </c>
      <c r="AC80" s="51"/>
      <c r="AD80" s="35" t="s">
        <v>38</v>
      </c>
      <c r="AE80" s="36" t="s">
        <v>46</v>
      </c>
      <c r="AF80" s="38" t="s">
        <v>142</v>
      </c>
      <c r="AG80" s="51"/>
      <c r="AH80" s="35" t="s">
        <v>38</v>
      </c>
      <c r="AI80" s="36" t="s">
        <v>151</v>
      </c>
      <c r="AJ80" s="47">
        <v>100</v>
      </c>
      <c r="AK80" s="51"/>
      <c r="AL80" s="35" t="s">
        <v>38</v>
      </c>
      <c r="AM80" s="36" t="s">
        <v>152</v>
      </c>
      <c r="AN80" s="36">
        <v>300</v>
      </c>
      <c r="AO80" s="51"/>
      <c r="AP80" s="35" t="s">
        <v>38</v>
      </c>
      <c r="AQ80" s="36" t="s">
        <v>152</v>
      </c>
      <c r="AR80" s="36">
        <v>300</v>
      </c>
      <c r="AS80" s="51"/>
      <c r="AT80" s="35" t="s">
        <v>38</v>
      </c>
      <c r="AU80" s="36" t="s">
        <v>152</v>
      </c>
      <c r="AV80" s="36">
        <v>300</v>
      </c>
      <c r="AW80" s="51"/>
      <c r="AX80" s="35" t="s">
        <v>38</v>
      </c>
      <c r="AY80" s="47" t="s">
        <v>197</v>
      </c>
      <c r="AZ80" s="49" t="s">
        <v>245</v>
      </c>
      <c r="BA80" s="51"/>
    </row>
    <row r="81" spans="1:53" s="7" customFormat="1" ht="15.75">
      <c r="A81" s="51"/>
      <c r="B81" s="35" t="s">
        <v>38</v>
      </c>
      <c r="C81" s="36" t="s">
        <v>125</v>
      </c>
      <c r="D81" s="38" t="s">
        <v>122</v>
      </c>
      <c r="E81" s="51"/>
      <c r="F81" s="35" t="s">
        <v>38</v>
      </c>
      <c r="G81" s="36" t="s">
        <v>125</v>
      </c>
      <c r="H81" s="38" t="s">
        <v>122</v>
      </c>
      <c r="I81" s="51"/>
      <c r="J81" s="35" t="s">
        <v>38</v>
      </c>
      <c r="K81" s="47" t="s">
        <v>41</v>
      </c>
      <c r="L81" s="47">
        <v>500</v>
      </c>
      <c r="M81" s="51"/>
      <c r="N81" s="35" t="s">
        <v>38</v>
      </c>
      <c r="O81" s="36" t="s">
        <v>48</v>
      </c>
      <c r="P81" s="38" t="s">
        <v>49</v>
      </c>
      <c r="Q81" s="51"/>
      <c r="R81" s="35" t="s">
        <v>38</v>
      </c>
      <c r="S81" s="36" t="s">
        <v>66</v>
      </c>
      <c r="T81" s="38" t="s">
        <v>261</v>
      </c>
      <c r="U81" s="51"/>
      <c r="V81" s="35" t="s">
        <v>38</v>
      </c>
      <c r="W81" s="36" t="s">
        <v>66</v>
      </c>
      <c r="X81" s="38" t="s">
        <v>142</v>
      </c>
      <c r="Y81" s="51"/>
      <c r="Z81" s="35" t="s">
        <v>38</v>
      </c>
      <c r="AA81" s="36" t="s">
        <v>66</v>
      </c>
      <c r="AB81" s="38" t="s">
        <v>142</v>
      </c>
      <c r="AC81" s="51"/>
      <c r="AD81" s="35" t="s">
        <v>38</v>
      </c>
      <c r="AE81" s="36" t="s">
        <v>153</v>
      </c>
      <c r="AF81" s="38" t="s">
        <v>64</v>
      </c>
      <c r="AG81" s="51"/>
      <c r="AH81" s="35" t="s">
        <v>38</v>
      </c>
      <c r="AI81" s="36" t="s">
        <v>154</v>
      </c>
      <c r="AJ81" s="47">
        <v>100</v>
      </c>
      <c r="AK81" s="51"/>
      <c r="AL81" s="51"/>
      <c r="AM81" s="51"/>
      <c r="AN81" s="51"/>
      <c r="AO81" s="51"/>
      <c r="AP81" s="51"/>
      <c r="AQ81" s="51"/>
      <c r="AR81" s="51"/>
      <c r="AS81" s="51"/>
      <c r="AT81" s="51"/>
      <c r="AU81" s="51"/>
      <c r="AV81" s="51"/>
      <c r="AW81" s="51"/>
      <c r="AX81" s="35" t="s">
        <v>38</v>
      </c>
      <c r="AY81" s="47" t="s">
        <v>198</v>
      </c>
      <c r="AZ81" s="49" t="s">
        <v>236</v>
      </c>
      <c r="BA81" s="51"/>
    </row>
    <row r="82" spans="1:53" s="7" customFormat="1" ht="15.75">
      <c r="A82" s="51"/>
      <c r="B82" s="35" t="s">
        <v>38</v>
      </c>
      <c r="C82" s="36" t="s">
        <v>126</v>
      </c>
      <c r="D82" s="38" t="s">
        <v>123</v>
      </c>
      <c r="E82" s="51"/>
      <c r="F82" s="35" t="s">
        <v>38</v>
      </c>
      <c r="G82" s="36" t="s">
        <v>126</v>
      </c>
      <c r="H82" s="38" t="s">
        <v>123</v>
      </c>
      <c r="I82" s="51"/>
      <c r="J82" s="51"/>
      <c r="K82" s="51"/>
      <c r="L82" s="51"/>
      <c r="M82" s="51"/>
      <c r="N82" s="35" t="s">
        <v>38</v>
      </c>
      <c r="O82" s="36" t="s">
        <v>50</v>
      </c>
      <c r="P82" s="38" t="s">
        <v>47</v>
      </c>
      <c r="Q82" s="51"/>
      <c r="R82" s="35" t="s">
        <v>38</v>
      </c>
      <c r="S82" s="36" t="s">
        <v>57</v>
      </c>
      <c r="T82" s="38" t="s">
        <v>227</v>
      </c>
      <c r="U82" s="51"/>
      <c r="V82" s="35" t="s">
        <v>38</v>
      </c>
      <c r="W82" s="36" t="s">
        <v>57</v>
      </c>
      <c r="X82" s="38" t="s">
        <v>58</v>
      </c>
      <c r="Y82" s="51"/>
      <c r="Z82" s="35" t="s">
        <v>38</v>
      </c>
      <c r="AA82" s="36" t="s">
        <v>57</v>
      </c>
      <c r="AB82" s="38" t="s">
        <v>58</v>
      </c>
      <c r="AC82" s="51"/>
      <c r="AD82" s="35" t="s">
        <v>38</v>
      </c>
      <c r="AE82" s="36" t="s">
        <v>50</v>
      </c>
      <c r="AF82" s="38" t="s">
        <v>136</v>
      </c>
      <c r="AG82" s="51"/>
      <c r="AH82" s="35" t="s">
        <v>38</v>
      </c>
      <c r="AI82" s="36" t="s">
        <v>155</v>
      </c>
      <c r="AJ82" s="47">
        <v>200</v>
      </c>
      <c r="AK82" s="51"/>
      <c r="AL82" s="51"/>
      <c r="AM82" s="51"/>
      <c r="AN82" s="51"/>
      <c r="AO82" s="51"/>
      <c r="AP82" s="51"/>
      <c r="AQ82" s="51"/>
      <c r="AR82" s="51"/>
      <c r="AS82" s="51"/>
      <c r="AT82" s="51"/>
      <c r="AU82" s="51"/>
      <c r="AV82" s="51"/>
      <c r="AW82" s="51"/>
      <c r="AX82" s="35" t="s">
        <v>38</v>
      </c>
      <c r="AY82" s="47" t="s">
        <v>237</v>
      </c>
      <c r="AZ82" s="49" t="s">
        <v>248</v>
      </c>
      <c r="BA82" s="51"/>
    </row>
    <row r="83" spans="1:53" s="7" customFormat="1" ht="15.75">
      <c r="A83" s="51"/>
      <c r="B83" s="35" t="s">
        <v>38</v>
      </c>
      <c r="C83" s="36" t="s">
        <v>125</v>
      </c>
      <c r="D83" s="38" t="s">
        <v>135</v>
      </c>
      <c r="E83" s="51"/>
      <c r="F83" s="35" t="s">
        <v>38</v>
      </c>
      <c r="G83" s="36" t="s">
        <v>125</v>
      </c>
      <c r="H83" s="38" t="s">
        <v>135</v>
      </c>
      <c r="I83" s="51"/>
      <c r="J83" s="51"/>
      <c r="K83" s="51"/>
      <c r="L83" s="51"/>
      <c r="M83" s="51"/>
      <c r="N83" s="51"/>
      <c r="O83" s="51"/>
      <c r="P83" s="51"/>
      <c r="Q83" s="51"/>
      <c r="R83" s="35" t="s">
        <v>38</v>
      </c>
      <c r="S83" s="36" t="s">
        <v>55</v>
      </c>
      <c r="T83" s="49" t="s">
        <v>246</v>
      </c>
      <c r="U83" s="51"/>
      <c r="V83" s="35" t="s">
        <v>38</v>
      </c>
      <c r="W83" s="36" t="s">
        <v>55</v>
      </c>
      <c r="X83" s="38" t="s">
        <v>239</v>
      </c>
      <c r="Y83" s="51"/>
      <c r="Z83" s="35" t="s">
        <v>38</v>
      </c>
      <c r="AA83" s="36" t="s">
        <v>55</v>
      </c>
      <c r="AB83" s="38" t="s">
        <v>239</v>
      </c>
      <c r="AC83" s="51"/>
      <c r="AD83" s="35" t="s">
        <v>38</v>
      </c>
      <c r="AE83" s="36" t="s">
        <v>156</v>
      </c>
      <c r="AF83" s="38" t="s">
        <v>64</v>
      </c>
      <c r="AG83" s="51"/>
      <c r="AH83" s="35" t="s">
        <v>38</v>
      </c>
      <c r="AI83" s="36" t="s">
        <v>157</v>
      </c>
      <c r="AJ83" s="47">
        <v>100</v>
      </c>
      <c r="AK83" s="51"/>
      <c r="AL83" s="51"/>
      <c r="AM83" s="51"/>
      <c r="AN83" s="51"/>
      <c r="AO83" s="51"/>
      <c r="AP83" s="51"/>
      <c r="AQ83" s="51"/>
      <c r="AR83" s="51"/>
      <c r="AS83" s="51"/>
      <c r="AT83" s="51"/>
      <c r="AU83" s="51"/>
      <c r="AV83" s="51"/>
      <c r="AW83" s="51"/>
      <c r="AX83" s="35" t="s">
        <v>38</v>
      </c>
      <c r="AY83" s="47" t="s">
        <v>199</v>
      </c>
      <c r="AZ83" s="49" t="s">
        <v>240</v>
      </c>
      <c r="BA83" s="51"/>
    </row>
    <row r="84" spans="1:53" s="7" customFormat="1" ht="15.75">
      <c r="A84" s="51"/>
      <c r="B84" s="35" t="s">
        <v>38</v>
      </c>
      <c r="C84" s="36" t="s">
        <v>126</v>
      </c>
      <c r="D84" s="38" t="s">
        <v>124</v>
      </c>
      <c r="E84" s="51"/>
      <c r="F84" s="35" t="s">
        <v>38</v>
      </c>
      <c r="G84" s="36" t="s">
        <v>126</v>
      </c>
      <c r="H84" s="38" t="s">
        <v>124</v>
      </c>
      <c r="I84" s="51"/>
      <c r="J84" s="51"/>
      <c r="K84" s="51"/>
      <c r="L84" s="51"/>
      <c r="M84" s="51"/>
      <c r="N84" s="51"/>
      <c r="O84" s="51"/>
      <c r="P84" s="51"/>
      <c r="Q84" s="51"/>
      <c r="R84" s="35" t="s">
        <v>38</v>
      </c>
      <c r="S84" s="36" t="s">
        <v>56</v>
      </c>
      <c r="T84" s="49" t="s">
        <v>137</v>
      </c>
      <c r="U84" s="51"/>
      <c r="V84" s="35" t="s">
        <v>38</v>
      </c>
      <c r="W84" s="36" t="s">
        <v>56</v>
      </c>
      <c r="X84" s="38" t="s">
        <v>241</v>
      </c>
      <c r="Y84" s="51"/>
      <c r="Z84" s="35" t="s">
        <v>38</v>
      </c>
      <c r="AA84" s="36" t="s">
        <v>56</v>
      </c>
      <c r="AB84" s="38" t="s">
        <v>241</v>
      </c>
      <c r="AC84" s="51"/>
      <c r="AD84" s="35" t="s">
        <v>38</v>
      </c>
      <c r="AE84" s="36" t="s">
        <v>158</v>
      </c>
      <c r="AF84" s="38" t="s">
        <v>159</v>
      </c>
      <c r="AG84" s="51"/>
      <c r="AH84" s="35" t="s">
        <v>38</v>
      </c>
      <c r="AI84" s="36" t="s">
        <v>160</v>
      </c>
      <c r="AJ84" s="47">
        <v>800</v>
      </c>
      <c r="AK84" s="51"/>
      <c r="AL84" s="51"/>
      <c r="AM84" s="51"/>
      <c r="AN84" s="51"/>
      <c r="AO84" s="51"/>
      <c r="AP84" s="51"/>
      <c r="AQ84" s="51"/>
      <c r="AR84" s="51"/>
      <c r="AS84" s="51"/>
      <c r="AT84" s="51"/>
      <c r="AU84" s="51"/>
      <c r="AV84" s="51"/>
      <c r="AW84" s="51"/>
      <c r="AX84" s="35" t="s">
        <v>38</v>
      </c>
      <c r="AY84" s="47" t="s">
        <v>200</v>
      </c>
      <c r="AZ84" s="49" t="s">
        <v>264</v>
      </c>
      <c r="BA84" s="51"/>
    </row>
    <row r="85" spans="1:53" s="7" customFormat="1" ht="15.75">
      <c r="A85" s="51"/>
      <c r="B85" s="35" t="s">
        <v>38</v>
      </c>
      <c r="C85" s="36" t="s">
        <v>125</v>
      </c>
      <c r="D85" s="38" t="s">
        <v>136</v>
      </c>
      <c r="E85" s="51"/>
      <c r="F85" s="35" t="s">
        <v>38</v>
      </c>
      <c r="G85" s="36" t="s">
        <v>125</v>
      </c>
      <c r="H85" s="38" t="s">
        <v>136</v>
      </c>
      <c r="I85" s="51"/>
      <c r="J85" s="51"/>
      <c r="K85" s="51"/>
      <c r="L85" s="51"/>
      <c r="M85" s="51"/>
      <c r="N85" s="51"/>
      <c r="O85" s="51"/>
      <c r="P85" s="51"/>
      <c r="Q85" s="51"/>
      <c r="R85" s="35" t="s">
        <v>38</v>
      </c>
      <c r="S85" s="36" t="s">
        <v>59</v>
      </c>
      <c r="T85" s="49" t="s">
        <v>243</v>
      </c>
      <c r="U85" s="51"/>
      <c r="V85" s="35" t="s">
        <v>38</v>
      </c>
      <c r="W85" s="36" t="s">
        <v>59</v>
      </c>
      <c r="X85" s="38" t="s">
        <v>141</v>
      </c>
      <c r="Y85" s="51"/>
      <c r="Z85" s="35" t="s">
        <v>38</v>
      </c>
      <c r="AA85" s="36" t="s">
        <v>59</v>
      </c>
      <c r="AB85" s="38" t="s">
        <v>141</v>
      </c>
      <c r="AC85" s="51"/>
      <c r="AD85" s="51"/>
      <c r="AE85" s="51"/>
      <c r="AF85" s="51"/>
      <c r="AG85" s="51"/>
      <c r="AH85" s="35" t="s">
        <v>38</v>
      </c>
      <c r="AI85" s="36" t="s">
        <v>255</v>
      </c>
      <c r="AJ85" s="47">
        <v>100</v>
      </c>
      <c r="AK85" s="51"/>
      <c r="AL85" s="51"/>
      <c r="AM85" s="51"/>
      <c r="AN85" s="51"/>
      <c r="AO85" s="51"/>
      <c r="AP85" s="51"/>
      <c r="AQ85" s="51"/>
      <c r="AR85" s="51"/>
      <c r="AS85" s="51"/>
      <c r="AT85" s="51"/>
      <c r="AU85" s="51"/>
      <c r="AV85" s="51"/>
      <c r="AW85" s="51"/>
      <c r="AX85" s="35" t="s">
        <v>38</v>
      </c>
      <c r="AY85" s="47" t="s">
        <v>201</v>
      </c>
      <c r="AZ85" s="52">
        <f>ROUND(AZ80+AZ86*AZ82/1000, 0)</f>
        <v>212483</v>
      </c>
      <c r="BA85" s="51"/>
    </row>
    <row r="86" spans="1:53" s="7" customFormat="1" ht="15.75">
      <c r="A86" s="51"/>
      <c r="B86" s="41" t="s">
        <v>38</v>
      </c>
      <c r="C86" s="42" t="s">
        <v>127</v>
      </c>
      <c r="D86" s="38" t="s">
        <v>63</v>
      </c>
      <c r="E86" s="51"/>
      <c r="F86" s="41" t="s">
        <v>38</v>
      </c>
      <c r="G86" s="42" t="s">
        <v>127</v>
      </c>
      <c r="H86" s="38" t="s">
        <v>64</v>
      </c>
      <c r="I86" s="51"/>
      <c r="J86" s="51"/>
      <c r="K86" s="51"/>
      <c r="L86" s="51"/>
      <c r="M86" s="51"/>
      <c r="N86" s="51"/>
      <c r="O86" s="51"/>
      <c r="P86" s="51"/>
      <c r="Q86" s="51"/>
      <c r="R86" s="35" t="s">
        <v>38</v>
      </c>
      <c r="S86" s="36" t="s">
        <v>60</v>
      </c>
      <c r="T86" s="49" t="s">
        <v>241</v>
      </c>
      <c r="U86" s="51"/>
      <c r="V86" s="35" t="s">
        <v>38</v>
      </c>
      <c r="W86" s="36" t="s">
        <v>60</v>
      </c>
      <c r="X86" s="38" t="s">
        <v>138</v>
      </c>
      <c r="Y86" s="51"/>
      <c r="Z86" s="35" t="s">
        <v>38</v>
      </c>
      <c r="AA86" s="36" t="s">
        <v>60</v>
      </c>
      <c r="AB86" s="38" t="s">
        <v>138</v>
      </c>
      <c r="AC86" s="51"/>
      <c r="AD86" s="51"/>
      <c r="AE86" s="51"/>
      <c r="AF86" s="51"/>
      <c r="AG86" s="51"/>
      <c r="AH86" s="35" t="s">
        <v>38</v>
      </c>
      <c r="AI86" s="36" t="s">
        <v>256</v>
      </c>
      <c r="AJ86" s="47">
        <v>25500</v>
      </c>
      <c r="AK86" s="51"/>
      <c r="AL86" s="51"/>
      <c r="AM86" s="51"/>
      <c r="AN86" s="51"/>
      <c r="AO86" s="51"/>
      <c r="AP86" s="51"/>
      <c r="AQ86" s="51"/>
      <c r="AR86" s="51"/>
      <c r="AS86" s="51"/>
      <c r="AT86" s="51"/>
      <c r="AU86" s="51"/>
      <c r="AV86" s="51"/>
      <c r="AW86" s="51"/>
      <c r="AX86" s="41" t="s">
        <v>38</v>
      </c>
      <c r="AY86" s="53" t="s">
        <v>202</v>
      </c>
      <c r="AZ86" s="52">
        <f>ROUND((AZ79-AZ80)*1000/(AZ82-AZ81),0)</f>
        <v>2833</v>
      </c>
      <c r="BA86" s="51"/>
    </row>
    <row r="87" spans="1:53" s="7" customFormat="1" ht="15.75">
      <c r="A87" s="51"/>
      <c r="B87" s="51"/>
      <c r="C87" s="51"/>
      <c r="D87" s="51"/>
      <c r="E87" s="51"/>
      <c r="F87" s="51"/>
      <c r="G87" s="51"/>
      <c r="H87" s="51"/>
      <c r="I87" s="51"/>
      <c r="J87" s="51"/>
      <c r="K87" s="51"/>
      <c r="L87" s="51"/>
      <c r="M87" s="51"/>
      <c r="N87" s="51"/>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35" t="s">
        <v>38</v>
      </c>
      <c r="AY87" s="47" t="s">
        <v>203</v>
      </c>
      <c r="AZ87" s="52">
        <f>ROUND(AZ84+AZ88*AZ82/1000,0)</f>
        <v>172517</v>
      </c>
      <c r="BA87" s="51"/>
    </row>
    <row r="88" spans="1:53" s="7" customFormat="1" ht="15.75">
      <c r="A88" s="51"/>
      <c r="B88" s="51"/>
      <c r="C88" s="51"/>
      <c r="D88" s="51"/>
      <c r="E88" s="51"/>
      <c r="F88" s="51"/>
      <c r="G88" s="51"/>
      <c r="H88" s="51"/>
      <c r="I88" s="51"/>
      <c r="J88" s="51"/>
      <c r="K88" s="51"/>
      <c r="L88" s="51"/>
      <c r="M88" s="51"/>
      <c r="N88" s="51"/>
      <c r="O88" s="51"/>
      <c r="P88" s="51"/>
      <c r="Q88" s="51"/>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41" t="s">
        <v>38</v>
      </c>
      <c r="AY88" s="53" t="s">
        <v>204</v>
      </c>
      <c r="AZ88" s="52">
        <f>ROUND((AZ83-AZ84)*1000/(AZ82-AZ81),0)</f>
        <v>2167</v>
      </c>
    </row>
    <row r="89" spans="1:53" s="7" customFormat="1" ht="15.75">
      <c r="A89" s="51"/>
      <c r="B89" s="51"/>
      <c r="C89" s="51"/>
      <c r="D89" s="51"/>
      <c r="E89" s="51"/>
      <c r="F89" s="51"/>
      <c r="G89" s="51"/>
      <c r="H89" s="51"/>
      <c r="I89" s="51"/>
      <c r="J89" s="51"/>
      <c r="K89" s="51"/>
      <c r="L89" s="51"/>
      <c r="M89" s="51"/>
      <c r="N89" s="51"/>
      <c r="O89" s="51"/>
      <c r="P89" s="51"/>
      <c r="Q89" s="51"/>
      <c r="U89" s="51"/>
      <c r="V89" s="51"/>
      <c r="W89" s="51"/>
      <c r="X89" s="51"/>
      <c r="Y89" s="51"/>
      <c r="Z89" s="51"/>
      <c r="AA89" s="51"/>
      <c r="AB89" s="51"/>
      <c r="AC89" s="51"/>
      <c r="AD89" s="51"/>
      <c r="AE89" s="51"/>
      <c r="AF89" s="51"/>
      <c r="AG89" s="51"/>
      <c r="AH89" s="51"/>
      <c r="AI89" s="51"/>
      <c r="AJ89" s="51"/>
      <c r="AK89" s="51"/>
      <c r="AL89" s="51"/>
      <c r="AM89" s="51"/>
      <c r="AN89" s="51"/>
      <c r="AO89" s="51"/>
      <c r="AP89" s="51"/>
      <c r="AQ89" s="51"/>
      <c r="AR89" s="51"/>
      <c r="AS89" s="51"/>
      <c r="AT89" s="51"/>
      <c r="AU89" s="51"/>
      <c r="AV89" s="51"/>
      <c r="AW89" s="51"/>
      <c r="AX89" s="35" t="s">
        <v>38</v>
      </c>
      <c r="AY89" s="36" t="s">
        <v>226</v>
      </c>
      <c r="AZ89" s="49" t="s">
        <v>270</v>
      </c>
    </row>
    <row r="90" spans="1:53" s="7" customFormat="1" ht="15.75">
      <c r="A90" s="51"/>
      <c r="B90" s="51"/>
      <c r="C90" s="51"/>
      <c r="D90" s="51"/>
      <c r="E90" s="51"/>
      <c r="F90" s="51"/>
      <c r="G90" s="51"/>
      <c r="H90" s="51"/>
      <c r="I90" s="51"/>
      <c r="J90" s="51"/>
      <c r="K90" s="51"/>
      <c r="L90" s="51"/>
      <c r="M90" s="51"/>
      <c r="N90" s="51"/>
      <c r="O90" s="51"/>
      <c r="P90" s="51"/>
      <c r="Q90" s="51"/>
      <c r="U90" s="51"/>
      <c r="V90" s="51"/>
      <c r="W90" s="51"/>
      <c r="X90" s="51"/>
      <c r="Y90" s="51"/>
      <c r="Z90" s="51"/>
      <c r="AA90" s="51"/>
      <c r="AB90" s="51"/>
      <c r="AC90" s="51"/>
      <c r="AD90" s="51"/>
      <c r="AE90" s="51"/>
      <c r="AF90" s="51"/>
      <c r="AG90" s="51"/>
      <c r="AH90" s="51"/>
      <c r="AI90" s="51"/>
      <c r="AJ90" s="51"/>
      <c r="AK90" s="51"/>
      <c r="AL90" s="51"/>
      <c r="AM90" s="51"/>
      <c r="AN90" s="51"/>
      <c r="AO90" s="51"/>
      <c r="AP90" s="51"/>
      <c r="AQ90" s="51"/>
      <c r="AR90" s="51"/>
      <c r="AS90" s="51"/>
      <c r="AT90" s="51"/>
      <c r="AU90" s="51"/>
      <c r="AV90" s="51"/>
      <c r="AW90" s="51"/>
      <c r="AX90" s="35" t="s">
        <v>38</v>
      </c>
      <c r="AY90" s="36" t="s">
        <v>228</v>
      </c>
      <c r="AZ90" s="49" t="s">
        <v>270</v>
      </c>
    </row>
    <row r="91" spans="1:53" s="7" customFormat="1" ht="15.75">
      <c r="A91" s="51"/>
      <c r="B91" s="51"/>
      <c r="C91" s="51"/>
      <c r="D91" s="51"/>
      <c r="E91" s="51"/>
      <c r="F91" s="51"/>
      <c r="G91" s="51"/>
      <c r="H91" s="51"/>
      <c r="I91" s="51"/>
      <c r="J91" s="51"/>
      <c r="K91" s="51"/>
      <c r="L91" s="51"/>
      <c r="M91" s="51"/>
      <c r="N91" s="51"/>
      <c r="O91" s="51"/>
      <c r="P91" s="51"/>
      <c r="Q91" s="51"/>
      <c r="U91" s="51"/>
      <c r="V91" s="51"/>
      <c r="W91" s="51"/>
      <c r="X91" s="51"/>
      <c r="Y91" s="51"/>
      <c r="Z91" s="51"/>
      <c r="AA91" s="51"/>
      <c r="AB91" s="51"/>
      <c r="AC91" s="51"/>
      <c r="AD91" s="51"/>
      <c r="AE91" s="51"/>
      <c r="AF91" s="51"/>
      <c r="AG91" s="51"/>
      <c r="AH91" s="51"/>
      <c r="AI91" s="51"/>
      <c r="AJ91" s="51"/>
      <c r="AK91" s="51"/>
      <c r="AL91" s="51"/>
      <c r="AM91" s="51"/>
      <c r="AN91" s="51"/>
      <c r="AO91" s="51"/>
      <c r="AP91" s="51"/>
      <c r="AQ91" s="51"/>
      <c r="AR91" s="51"/>
      <c r="AS91" s="51"/>
      <c r="AT91" s="51"/>
      <c r="AU91" s="51"/>
      <c r="AV91" s="51"/>
      <c r="AW91" s="51"/>
      <c r="AX91" s="35" t="s">
        <v>38</v>
      </c>
      <c r="AY91" s="36" t="s">
        <v>229</v>
      </c>
      <c r="AZ91" s="49" t="s">
        <v>230</v>
      </c>
    </row>
    <row r="92" spans="1:53" s="7" customFormat="1" ht="15.75">
      <c r="A92" s="51"/>
      <c r="B92" s="51"/>
      <c r="C92" s="51"/>
      <c r="D92" s="51"/>
      <c r="E92" s="51"/>
      <c r="F92" s="51"/>
      <c r="G92" s="51"/>
      <c r="H92" s="51"/>
      <c r="I92" s="51"/>
      <c r="J92" s="51"/>
      <c r="K92" s="51"/>
      <c r="L92" s="51"/>
      <c r="M92" s="51"/>
      <c r="N92" s="51"/>
      <c r="O92" s="51"/>
      <c r="P92" s="51"/>
      <c r="Q92" s="51"/>
      <c r="U92" s="51"/>
      <c r="V92" s="51"/>
      <c r="W92" s="51"/>
      <c r="X92" s="51"/>
      <c r="Y92" s="51"/>
      <c r="Z92" s="51"/>
      <c r="AA92" s="51"/>
      <c r="AB92" s="51"/>
      <c r="AC92" s="51"/>
      <c r="AD92" s="51"/>
      <c r="AE92" s="51"/>
      <c r="AF92" s="51"/>
      <c r="AG92" s="51"/>
      <c r="AH92" s="51"/>
      <c r="AI92" s="51"/>
      <c r="AJ92" s="51"/>
      <c r="AK92" s="51"/>
      <c r="AL92" s="51"/>
      <c r="AM92" s="51"/>
      <c r="AN92" s="51"/>
      <c r="AO92" s="51"/>
      <c r="AP92" s="51"/>
      <c r="AQ92" s="51"/>
      <c r="AR92" s="51"/>
      <c r="AS92" s="51"/>
      <c r="AT92" s="51"/>
      <c r="AU92" s="51"/>
      <c r="AV92" s="51"/>
      <c r="AW92" s="51"/>
      <c r="AX92" s="51"/>
    </row>
    <row r="93" spans="1:53" s="7" customFormat="1" ht="15.75">
      <c r="A93" s="51"/>
      <c r="B93" s="51"/>
      <c r="C93" s="51"/>
      <c r="D93" s="51"/>
      <c r="E93" s="51"/>
      <c r="F93" s="51"/>
      <c r="G93" s="51"/>
      <c r="H93" s="51"/>
      <c r="I93" s="51"/>
      <c r="J93" s="51"/>
      <c r="K93" s="51"/>
      <c r="L93" s="51"/>
      <c r="M93" s="51"/>
      <c r="N93" s="51"/>
      <c r="O93" s="51"/>
      <c r="P93" s="51"/>
      <c r="Q93" s="51"/>
      <c r="U93" s="51"/>
      <c r="V93" s="51"/>
      <c r="W93" s="51"/>
      <c r="X93" s="51"/>
      <c r="Y93" s="51"/>
      <c r="Z93" s="51"/>
      <c r="AA93" s="51"/>
      <c r="AB93" s="51"/>
      <c r="AC93" s="51"/>
      <c r="AD93" s="51"/>
      <c r="AE93" s="51"/>
      <c r="AF93" s="51"/>
      <c r="AG93" s="51"/>
      <c r="AH93" s="51"/>
      <c r="AI93" s="51"/>
      <c r="AJ93" s="51"/>
      <c r="AK93" s="51"/>
      <c r="AL93" s="51"/>
      <c r="AM93" s="51"/>
      <c r="AN93" s="51"/>
      <c r="AO93" s="51"/>
      <c r="AP93" s="51"/>
      <c r="AQ93" s="51"/>
      <c r="AR93" s="51"/>
      <c r="AS93" s="51"/>
      <c r="AT93" s="51"/>
      <c r="AU93" s="51"/>
      <c r="AV93" s="51"/>
      <c r="AW93" s="51"/>
      <c r="AX93" s="51"/>
    </row>
    <row r="94" spans="1:53" s="7" customFormat="1" ht="15.75">
      <c r="A94" s="51"/>
      <c r="B94" s="51"/>
      <c r="C94" s="51"/>
      <c r="D94" s="51"/>
      <c r="E94" s="51"/>
      <c r="F94" s="51"/>
      <c r="G94" s="51"/>
      <c r="H94" s="51"/>
      <c r="I94" s="51"/>
      <c r="J94" s="51"/>
      <c r="K94" s="51"/>
      <c r="L94" s="51"/>
      <c r="M94" s="51"/>
      <c r="N94" s="51"/>
      <c r="O94" s="51"/>
      <c r="P94" s="51"/>
      <c r="Q94" s="51"/>
      <c r="U94" s="51"/>
      <c r="V94" s="51"/>
      <c r="W94" s="51"/>
      <c r="X94" s="51"/>
      <c r="Y94" s="51"/>
      <c r="Z94" s="51"/>
      <c r="AA94" s="51"/>
      <c r="AB94" s="51"/>
      <c r="AC94" s="51"/>
      <c r="AD94" s="51"/>
      <c r="AE94" s="51"/>
      <c r="AF94" s="51"/>
      <c r="AG94" s="51"/>
      <c r="AH94" s="51"/>
      <c r="AI94" s="51"/>
      <c r="AJ94" s="51"/>
      <c r="AK94" s="51"/>
      <c r="AL94" s="51"/>
      <c r="AM94" s="51"/>
      <c r="AN94" s="51"/>
      <c r="AO94" s="51"/>
      <c r="AP94" s="51"/>
      <c r="AQ94" s="51"/>
      <c r="AR94" s="51"/>
      <c r="AS94" s="51"/>
      <c r="AT94" s="51"/>
      <c r="AU94" s="51"/>
      <c r="AV94" s="51"/>
      <c r="AW94" s="51"/>
      <c r="AX94" s="51"/>
    </row>
    <row r="95" spans="1:53" ht="15.75">
      <c r="A95" s="51"/>
      <c r="B95" s="51"/>
      <c r="C95" s="51"/>
      <c r="D95" s="51"/>
      <c r="E95" s="51"/>
      <c r="F95" s="51"/>
      <c r="G95" s="51"/>
      <c r="H95" s="51"/>
      <c r="I95" s="51"/>
      <c r="J95" s="51"/>
      <c r="K95" s="51"/>
      <c r="L95" s="51"/>
      <c r="M95" s="51"/>
      <c r="N95" s="51"/>
      <c r="O95" s="51"/>
      <c r="P95" s="51"/>
      <c r="Q95" s="51"/>
      <c r="U95" s="51"/>
      <c r="V95" s="51"/>
      <c r="W95" s="51"/>
      <c r="X95" s="51"/>
      <c r="Y95" s="51"/>
      <c r="Z95" s="51"/>
      <c r="AA95" s="51"/>
      <c r="AB95" s="51"/>
      <c r="AC95" s="51"/>
      <c r="AD95" s="51"/>
      <c r="AE95" s="51"/>
      <c r="AF95" s="51"/>
      <c r="AG95" s="51"/>
      <c r="AH95" s="51"/>
      <c r="AI95" s="51"/>
      <c r="AJ95" s="51"/>
      <c r="AK95" s="51"/>
      <c r="AL95" s="51"/>
      <c r="AM95" s="51"/>
      <c r="AN95" s="51"/>
      <c r="AO95" s="51"/>
      <c r="AP95" s="51"/>
      <c r="AQ95" s="51"/>
      <c r="AR95" s="51"/>
      <c r="AS95" s="51"/>
      <c r="AT95" s="51"/>
      <c r="AU95" s="51"/>
      <c r="AV95" s="51"/>
      <c r="AW95" s="51"/>
      <c r="AX95" s="51"/>
      <c r="AY95" s="1"/>
      <c r="AZ95" s="1"/>
      <c r="BA95" s="1"/>
    </row>
    <row r="96" spans="1:53" ht="15.75">
      <c r="A96" s="51"/>
      <c r="B96" s="51"/>
      <c r="C96" s="51"/>
      <c r="D96" s="51"/>
      <c r="E96" s="51"/>
      <c r="F96" s="51"/>
      <c r="G96" s="51"/>
      <c r="H96" s="51"/>
      <c r="I96" s="51"/>
      <c r="J96" s="51"/>
      <c r="K96" s="51"/>
      <c r="L96" s="51"/>
      <c r="M96" s="51"/>
      <c r="N96" s="51"/>
      <c r="O96" s="51"/>
      <c r="P96" s="51"/>
      <c r="Q96" s="51"/>
      <c r="U96" s="51"/>
      <c r="V96" s="51"/>
      <c r="W96" s="51"/>
      <c r="X96" s="51"/>
      <c r="Y96" s="51"/>
      <c r="Z96" s="51"/>
      <c r="AA96" s="51"/>
      <c r="AB96" s="51"/>
      <c r="AC96" s="51"/>
      <c r="AD96" s="51"/>
      <c r="AE96" s="51"/>
      <c r="AF96" s="51"/>
      <c r="AG96" s="51"/>
      <c r="AH96" s="51"/>
      <c r="AI96" s="51"/>
      <c r="AJ96" s="51"/>
      <c r="AK96" s="51"/>
      <c r="AL96" s="51"/>
      <c r="AM96" s="51"/>
      <c r="AN96" s="51"/>
      <c r="AO96" s="51"/>
      <c r="AP96" s="51"/>
      <c r="AQ96" s="51"/>
      <c r="AR96" s="51"/>
      <c r="AS96" s="51"/>
      <c r="AT96" s="51"/>
      <c r="AU96" s="51"/>
      <c r="AV96" s="51"/>
      <c r="AW96" s="51"/>
      <c r="AX96" s="51"/>
      <c r="AY96" s="1"/>
      <c r="AZ96" s="1"/>
      <c r="BA96" s="1"/>
    </row>
    <row r="97" spans="1:53" ht="15.75">
      <c r="A97" s="51"/>
      <c r="B97" s="51"/>
      <c r="C97" s="51"/>
      <c r="D97" s="51"/>
      <c r="E97" s="51"/>
      <c r="F97" s="51"/>
      <c r="G97" s="51"/>
      <c r="H97" s="51"/>
      <c r="I97" s="51"/>
      <c r="J97" s="51"/>
      <c r="K97" s="51"/>
      <c r="L97" s="51"/>
      <c r="M97" s="51"/>
      <c r="N97" s="51"/>
      <c r="O97" s="51"/>
      <c r="P97" s="51"/>
      <c r="Q97" s="51"/>
      <c r="U97" s="51"/>
      <c r="V97" s="51"/>
      <c r="W97" s="51"/>
      <c r="X97" s="51"/>
      <c r="Y97" s="51"/>
      <c r="Z97" s="51"/>
      <c r="AA97" s="51"/>
      <c r="AB97" s="51"/>
      <c r="AC97" s="51"/>
      <c r="AD97" s="51"/>
      <c r="AE97" s="51"/>
      <c r="AF97" s="51"/>
      <c r="AG97" s="51"/>
      <c r="AH97" s="51"/>
      <c r="AI97" s="51"/>
      <c r="AJ97" s="51"/>
      <c r="AK97" s="51"/>
      <c r="AL97" s="51"/>
      <c r="AM97" s="51"/>
      <c r="AN97" s="51"/>
      <c r="AO97" s="51"/>
      <c r="AP97" s="51"/>
      <c r="AQ97" s="51"/>
      <c r="AR97" s="51"/>
      <c r="AS97" s="51"/>
      <c r="AT97" s="51"/>
      <c r="AU97" s="51"/>
      <c r="AV97" s="51"/>
      <c r="AW97" s="51"/>
      <c r="AX97" s="51"/>
      <c r="AY97" s="1"/>
      <c r="AZ97" s="1"/>
      <c r="BA97" s="1"/>
    </row>
    <row r="98" spans="1:53" ht="15.75">
      <c r="A98" s="51"/>
      <c r="B98" s="51"/>
      <c r="C98" s="51"/>
      <c r="D98" s="51"/>
      <c r="E98" s="51"/>
      <c r="F98" s="51"/>
      <c r="G98" s="51"/>
      <c r="H98" s="51"/>
      <c r="I98" s="51"/>
      <c r="J98" s="51"/>
      <c r="K98" s="51"/>
      <c r="L98" s="51"/>
      <c r="M98" s="51"/>
      <c r="N98" s="51"/>
      <c r="O98" s="51"/>
      <c r="P98" s="51"/>
      <c r="Q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c r="AT98" s="51"/>
      <c r="AU98" s="51"/>
      <c r="AV98" s="51"/>
      <c r="AW98" s="51"/>
      <c r="AX98" s="51"/>
      <c r="AY98" s="1"/>
      <c r="AZ98" s="1"/>
      <c r="BA98" s="1"/>
    </row>
    <row r="99" spans="1:53" ht="15.75">
      <c r="A99" s="51"/>
      <c r="B99" s="51"/>
      <c r="C99" s="51"/>
      <c r="D99" s="51"/>
      <c r="E99" s="51"/>
      <c r="F99" s="51"/>
      <c r="G99" s="51"/>
      <c r="H99" s="51"/>
      <c r="I99" s="51"/>
      <c r="J99" s="51"/>
      <c r="K99" s="51"/>
      <c r="L99" s="51"/>
      <c r="M99" s="51"/>
      <c r="N99" s="51"/>
      <c r="O99" s="51"/>
      <c r="P99" s="51"/>
      <c r="Q99" s="51"/>
      <c r="U99" s="51"/>
      <c r="V99" s="51"/>
      <c r="W99" s="51"/>
      <c r="X99" s="51"/>
      <c r="Y99" s="51"/>
      <c r="Z99" s="51"/>
      <c r="AA99" s="51"/>
      <c r="AB99" s="51"/>
      <c r="AC99" s="51"/>
      <c r="AD99" s="51"/>
      <c r="AE99" s="51"/>
      <c r="AF99" s="51"/>
      <c r="AG99" s="51"/>
      <c r="AH99" s="51"/>
      <c r="AI99" s="51"/>
      <c r="AJ99" s="51"/>
      <c r="AK99" s="51"/>
      <c r="AL99" s="51"/>
      <c r="AM99" s="51"/>
      <c r="AN99" s="51"/>
      <c r="AO99" s="51"/>
      <c r="AP99" s="51"/>
      <c r="AQ99" s="51"/>
      <c r="AR99" s="51"/>
      <c r="AS99" s="51"/>
      <c r="AT99" s="51"/>
      <c r="AU99" s="51"/>
      <c r="AV99" s="51"/>
      <c r="AW99" s="51"/>
      <c r="AX99" s="51"/>
      <c r="AY99" s="1"/>
      <c r="AZ99" s="1"/>
      <c r="BA99" s="1"/>
    </row>
    <row r="100" spans="1:53" ht="15.75">
      <c r="A100" s="51"/>
      <c r="B100" s="51"/>
      <c r="C100" s="51"/>
      <c r="D100" s="51"/>
      <c r="E100" s="51"/>
      <c r="F100" s="51"/>
      <c r="G100" s="51"/>
      <c r="H100" s="51"/>
      <c r="I100" s="51"/>
      <c r="J100" s="51"/>
      <c r="K100" s="51"/>
      <c r="L100" s="51"/>
      <c r="M100" s="51"/>
      <c r="N100" s="51"/>
      <c r="O100" s="51"/>
      <c r="P100" s="51"/>
      <c r="Q100" s="51"/>
      <c r="U100" s="51"/>
      <c r="V100" s="51"/>
      <c r="W100" s="51"/>
      <c r="X100" s="51"/>
      <c r="Y100" s="51"/>
      <c r="Z100" s="51"/>
      <c r="AA100" s="51"/>
      <c r="AB100" s="51"/>
      <c r="AC100" s="51"/>
      <c r="AD100" s="51"/>
      <c r="AE100" s="51"/>
      <c r="AF100" s="51"/>
      <c r="AG100" s="51"/>
      <c r="AH100" s="51"/>
      <c r="AI100" s="51"/>
      <c r="AJ100" s="51"/>
      <c r="AK100" s="51"/>
      <c r="AL100" s="51"/>
      <c r="AM100" s="51"/>
      <c r="AN100" s="51"/>
      <c r="AO100" s="51"/>
      <c r="AP100" s="51"/>
      <c r="AQ100" s="51"/>
      <c r="AR100" s="51"/>
      <c r="AS100" s="51"/>
      <c r="AT100" s="51"/>
      <c r="AU100" s="51"/>
      <c r="AV100" s="51"/>
      <c r="AW100" s="51"/>
      <c r="AX100" s="51"/>
      <c r="AY100" s="51"/>
      <c r="AZ100" s="51"/>
      <c r="BA100" s="51"/>
    </row>
    <row r="101" spans="1:53" ht="15.75">
      <c r="A101" s="51"/>
      <c r="B101" s="51"/>
      <c r="C101" s="51"/>
      <c r="D101" s="51"/>
      <c r="E101" s="51"/>
      <c r="F101" s="51"/>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c r="AT101" s="51"/>
      <c r="AU101" s="51"/>
      <c r="AV101" s="51"/>
      <c r="AW101" s="51"/>
      <c r="AX101" s="51"/>
      <c r="AY101" s="51"/>
      <c r="AZ101" s="51"/>
      <c r="BA101" s="51"/>
    </row>
    <row r="102" spans="1:53" ht="15.75">
      <c r="A102" s="51"/>
      <c r="B102" s="51"/>
      <c r="C102" s="51"/>
      <c r="D102" s="51"/>
      <c r="E102" s="51"/>
      <c r="F102" s="51"/>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c r="AT102" s="51"/>
      <c r="AU102" s="51"/>
      <c r="AV102" s="51"/>
      <c r="AW102" s="51"/>
      <c r="AX102" s="51"/>
      <c r="AY102" s="51"/>
      <c r="AZ102" s="51"/>
      <c r="BA102" s="51"/>
    </row>
    <row r="103" spans="1:53" ht="15.75">
      <c r="A103" s="51"/>
      <c r="B103" s="51"/>
      <c r="C103" s="51"/>
      <c r="D103" s="51"/>
      <c r="E103" s="51"/>
      <c r="F103" s="51"/>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c r="AJ103" s="51"/>
      <c r="AK103" s="51"/>
      <c r="AL103" s="51"/>
      <c r="AM103" s="51"/>
      <c r="AN103" s="51"/>
      <c r="AO103" s="51"/>
      <c r="AP103" s="51"/>
      <c r="AQ103" s="51"/>
      <c r="AR103" s="51"/>
      <c r="AS103" s="51"/>
      <c r="AT103" s="51"/>
      <c r="AU103" s="51"/>
      <c r="AV103" s="51"/>
      <c r="AW103" s="51"/>
      <c r="AX103" s="51"/>
      <c r="AY103" s="51"/>
      <c r="AZ103" s="51"/>
      <c r="BA103" s="51"/>
    </row>
    <row r="104" spans="1:53" ht="15.75">
      <c r="A104" s="51"/>
      <c r="B104" s="51"/>
      <c r="C104" s="51"/>
      <c r="D104" s="51"/>
      <c r="E104" s="51"/>
      <c r="F104" s="51"/>
      <c r="G104" s="51"/>
      <c r="H104" s="51"/>
      <c r="I104" s="51"/>
      <c r="J104" s="51"/>
      <c r="K104" s="51"/>
      <c r="L104" s="51"/>
      <c r="M104" s="51"/>
      <c r="N104" s="51"/>
      <c r="O104" s="51"/>
      <c r="P104" s="51"/>
      <c r="Q104" s="51"/>
      <c r="R104" s="51"/>
      <c r="S104" s="51"/>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c r="AT104" s="51"/>
      <c r="AU104" s="51"/>
      <c r="AV104" s="51"/>
      <c r="AW104" s="51"/>
      <c r="AX104" s="51"/>
      <c r="AY104" s="51"/>
      <c r="AZ104" s="51"/>
      <c r="BA104" s="51"/>
    </row>
    <row r="105" spans="1:53" ht="15.75">
      <c r="A105" s="51"/>
      <c r="B105" s="51"/>
      <c r="C105" s="51"/>
      <c r="D105" s="51"/>
      <c r="E105" s="51"/>
      <c r="F105" s="51"/>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c r="AD105" s="51"/>
      <c r="AE105" s="51"/>
      <c r="AF105" s="51"/>
      <c r="AG105" s="51"/>
      <c r="AH105" s="51"/>
      <c r="AI105" s="51"/>
      <c r="AJ105" s="51"/>
      <c r="AK105" s="51"/>
      <c r="AL105" s="51"/>
      <c r="AM105" s="51"/>
      <c r="AN105" s="51"/>
      <c r="AO105" s="51"/>
      <c r="AP105" s="51"/>
      <c r="AQ105" s="51"/>
      <c r="AR105" s="51"/>
      <c r="AS105" s="51"/>
      <c r="AT105" s="51"/>
      <c r="AU105" s="51"/>
      <c r="AV105" s="51"/>
      <c r="AW105" s="51"/>
      <c r="AX105" s="51"/>
      <c r="AY105" s="51"/>
      <c r="AZ105" s="51"/>
      <c r="BA105" s="51"/>
    </row>
    <row r="106" spans="1:53" ht="15.75">
      <c r="A106" s="51"/>
      <c r="B106" s="51"/>
      <c r="C106" s="51"/>
      <c r="D106" s="51"/>
      <c r="E106" s="51"/>
      <c r="F106" s="51"/>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c r="AV106" s="51"/>
      <c r="AW106" s="51"/>
      <c r="AX106" s="51"/>
      <c r="AY106" s="51"/>
      <c r="AZ106" s="51"/>
      <c r="BA106" s="51"/>
    </row>
    <row r="107" spans="1:53" ht="15.75">
      <c r="A107" s="51"/>
      <c r="B107" s="51"/>
      <c r="C107" s="51"/>
      <c r="D107" s="51"/>
      <c r="E107" s="51"/>
      <c r="F107" s="51"/>
      <c r="G107" s="51"/>
      <c r="H107" s="51"/>
      <c r="I107" s="5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c r="AV107" s="51"/>
      <c r="AW107" s="51"/>
      <c r="AX107" s="51"/>
      <c r="AY107" s="51"/>
      <c r="AZ107" s="51"/>
      <c r="BA107" s="51"/>
    </row>
    <row r="108" spans="1:53" ht="15.75">
      <c r="A108" s="51"/>
      <c r="B108" s="51"/>
      <c r="C108" s="51"/>
      <c r="D108" s="51"/>
      <c r="E108" s="51"/>
      <c r="F108" s="51"/>
      <c r="G108" s="51"/>
      <c r="H108" s="51"/>
      <c r="I108" s="5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c r="AV108" s="51"/>
      <c r="AW108" s="51"/>
      <c r="AX108" s="51"/>
      <c r="AY108" s="51"/>
      <c r="AZ108" s="51"/>
      <c r="BA108" s="51"/>
    </row>
    <row r="109" spans="1:53" ht="15.75">
      <c r="A109" s="51"/>
      <c r="B109" s="51"/>
      <c r="C109" s="51"/>
      <c r="D109" s="51"/>
      <c r="E109" s="51"/>
      <c r="F109" s="51"/>
      <c r="G109" s="51"/>
      <c r="H109" s="51"/>
      <c r="I109" s="5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c r="AV109" s="51"/>
      <c r="AW109" s="51"/>
      <c r="AX109" s="51"/>
      <c r="AY109" s="51"/>
      <c r="AZ109" s="51"/>
      <c r="BA109" s="51"/>
    </row>
    <row r="110" spans="1:53" ht="15.75">
      <c r="A110" s="51"/>
      <c r="B110" s="51"/>
      <c r="C110" s="51"/>
      <c r="D110" s="51"/>
      <c r="E110" s="51"/>
      <c r="F110" s="51"/>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c r="AV110" s="51"/>
      <c r="AW110" s="51"/>
      <c r="AX110" s="51"/>
      <c r="AY110" s="51"/>
      <c r="AZ110" s="51"/>
      <c r="BA110" s="51"/>
    </row>
    <row r="111" spans="1:53" ht="15.75">
      <c r="A111" s="51"/>
      <c r="B111" s="51"/>
      <c r="C111" s="51"/>
      <c r="D111" s="51"/>
      <c r="E111" s="51"/>
      <c r="F111" s="51"/>
      <c r="G111" s="51"/>
      <c r="H111" s="51"/>
      <c r="I111" s="5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c r="AV111" s="51"/>
      <c r="AW111" s="51"/>
      <c r="AX111" s="51"/>
      <c r="AY111" s="51"/>
      <c r="AZ111" s="51"/>
      <c r="BA111" s="51"/>
    </row>
    <row r="112" spans="1:53" ht="15.75">
      <c r="A112" s="51"/>
      <c r="B112" s="51"/>
      <c r="C112" s="51"/>
      <c r="D112" s="51"/>
      <c r="E112" s="51"/>
      <c r="F112" s="51"/>
      <c r="G112" s="51"/>
      <c r="H112" s="51"/>
      <c r="I112" s="5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c r="AV112" s="51"/>
      <c r="AW112" s="51"/>
      <c r="AX112" s="51"/>
      <c r="AY112" s="51"/>
      <c r="AZ112" s="51"/>
      <c r="BA112" s="51"/>
    </row>
    <row r="113" spans="1:53" ht="15.75">
      <c r="A113" s="51"/>
      <c r="B113" s="51"/>
      <c r="C113" s="51"/>
      <c r="D113" s="51"/>
      <c r="E113" s="51"/>
      <c r="F113" s="51"/>
      <c r="G113" s="51"/>
      <c r="H113" s="51"/>
      <c r="I113" s="5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c r="AV113" s="51"/>
      <c r="AW113" s="51"/>
      <c r="AX113" s="51"/>
      <c r="AY113" s="51"/>
      <c r="AZ113" s="51"/>
      <c r="BA113" s="51"/>
    </row>
    <row r="114" spans="1:53" ht="15.75">
      <c r="A114" s="51"/>
      <c r="B114" s="51"/>
      <c r="C114" s="51"/>
      <c r="D114" s="51"/>
      <c r="E114" s="51"/>
      <c r="F114" s="51"/>
      <c r="G114" s="51"/>
      <c r="H114" s="51"/>
      <c r="I114" s="5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c r="AV114" s="51"/>
      <c r="AW114" s="51"/>
      <c r="AX114" s="51"/>
      <c r="AY114" s="51"/>
      <c r="AZ114" s="51"/>
      <c r="BA114" s="51"/>
    </row>
    <row r="115" spans="1:53" ht="15.75">
      <c r="A115" s="51"/>
      <c r="B115" s="51"/>
      <c r="C115" s="51"/>
      <c r="D115" s="51"/>
      <c r="E115" s="51"/>
      <c r="F115" s="51"/>
      <c r="G115" s="51"/>
      <c r="H115" s="51"/>
      <c r="I115" s="5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c r="AV115" s="51"/>
      <c r="AW115" s="51"/>
      <c r="AX115" s="51"/>
      <c r="AY115" s="51"/>
      <c r="AZ115" s="51"/>
      <c r="BA115" s="51"/>
    </row>
    <row r="116" spans="1:53" ht="15.75">
      <c r="A116" s="51"/>
      <c r="B116" s="51"/>
      <c r="C116" s="51"/>
      <c r="D116" s="51"/>
      <c r="E116" s="51"/>
      <c r="F116" s="51"/>
      <c r="G116" s="51"/>
      <c r="H116" s="51"/>
      <c r="I116" s="51"/>
      <c r="J116" s="51"/>
      <c r="K116" s="51"/>
      <c r="L116" s="51"/>
      <c r="M116" s="51"/>
      <c r="N116" s="51"/>
      <c r="O116" s="51"/>
      <c r="P116" s="51"/>
      <c r="Q116" s="51"/>
      <c r="R116" s="51"/>
      <c r="S116" s="51"/>
      <c r="T116" s="51"/>
      <c r="U116" s="51"/>
      <c r="V116" s="51"/>
      <c r="W116" s="51"/>
      <c r="X116" s="51"/>
      <c r="Y116" s="51"/>
      <c r="Z116" s="51"/>
      <c r="AA116" s="51"/>
      <c r="AB116" s="51"/>
      <c r="AC116" s="51"/>
      <c r="AD116" s="51"/>
      <c r="AE116" s="51"/>
      <c r="AF116" s="51"/>
      <c r="AG116" s="51"/>
      <c r="AH116" s="51"/>
      <c r="AI116" s="51"/>
      <c r="AJ116" s="51"/>
      <c r="AK116" s="51"/>
      <c r="AL116" s="51"/>
      <c r="AM116" s="51"/>
      <c r="AN116" s="51"/>
      <c r="AO116" s="51"/>
      <c r="AP116" s="51"/>
      <c r="AQ116" s="51"/>
      <c r="AR116" s="51"/>
      <c r="AS116" s="51"/>
      <c r="AT116" s="51"/>
      <c r="AU116" s="51"/>
      <c r="AV116" s="51"/>
      <c r="AW116" s="51"/>
      <c r="AX116" s="51"/>
      <c r="AY116" s="51"/>
      <c r="AZ116" s="51"/>
      <c r="BA116" s="51"/>
    </row>
    <row r="117" spans="1:53" ht="15.75">
      <c r="A117" s="51"/>
      <c r="B117" s="51"/>
      <c r="C117" s="51"/>
      <c r="D117" s="51"/>
      <c r="E117" s="51"/>
      <c r="F117" s="51"/>
      <c r="G117" s="51"/>
      <c r="H117" s="51"/>
      <c r="I117" s="51"/>
      <c r="J117" s="51"/>
      <c r="K117" s="51"/>
      <c r="L117" s="51"/>
      <c r="M117" s="51"/>
      <c r="N117" s="51"/>
      <c r="O117" s="51"/>
      <c r="P117" s="51"/>
      <c r="Q117" s="51"/>
      <c r="R117" s="51"/>
      <c r="S117" s="51"/>
      <c r="T117" s="51"/>
      <c r="U117" s="51"/>
      <c r="V117" s="51"/>
      <c r="W117" s="51"/>
      <c r="X117" s="51"/>
      <c r="Y117" s="51"/>
      <c r="Z117" s="51"/>
      <c r="AA117" s="51"/>
      <c r="AB117" s="51"/>
      <c r="AC117" s="51"/>
      <c r="AD117" s="51"/>
      <c r="AE117" s="51"/>
      <c r="AF117" s="51"/>
      <c r="AG117" s="51"/>
      <c r="AH117" s="51"/>
      <c r="AI117" s="51"/>
      <c r="AJ117" s="51"/>
      <c r="AK117" s="51"/>
      <c r="AL117" s="51"/>
      <c r="AM117" s="51"/>
      <c r="AN117" s="51"/>
      <c r="AO117" s="51"/>
      <c r="AP117" s="51"/>
      <c r="AQ117" s="51"/>
      <c r="AR117" s="51"/>
      <c r="AS117" s="51"/>
      <c r="AT117" s="51"/>
      <c r="AU117" s="51"/>
      <c r="AV117" s="51"/>
      <c r="AW117" s="51"/>
      <c r="AX117" s="51"/>
      <c r="AY117" s="51"/>
      <c r="AZ117" s="51"/>
      <c r="BA117" s="51"/>
    </row>
    <row r="118" spans="1:53" ht="15.75">
      <c r="A118" s="51"/>
      <c r="B118" s="51"/>
      <c r="C118" s="51"/>
      <c r="D118" s="51"/>
      <c r="E118" s="51"/>
      <c r="F118" s="51"/>
      <c r="G118" s="51"/>
      <c r="H118" s="51"/>
      <c r="I118" s="51"/>
      <c r="J118" s="51"/>
      <c r="K118" s="51"/>
      <c r="L118" s="51"/>
      <c r="M118" s="51"/>
      <c r="N118" s="51"/>
      <c r="O118" s="51"/>
      <c r="P118" s="51"/>
      <c r="Q118" s="51"/>
      <c r="R118" s="51"/>
      <c r="S118" s="51"/>
      <c r="T118" s="51"/>
      <c r="U118" s="51"/>
      <c r="V118" s="51"/>
      <c r="W118" s="51"/>
      <c r="X118" s="51"/>
      <c r="Y118" s="51"/>
      <c r="Z118" s="51"/>
      <c r="AA118" s="51"/>
      <c r="AB118" s="51"/>
      <c r="AC118" s="51"/>
      <c r="AD118" s="51"/>
      <c r="AE118" s="51"/>
      <c r="AF118" s="51"/>
      <c r="AG118" s="51"/>
      <c r="AH118" s="51"/>
      <c r="AI118" s="51"/>
      <c r="AJ118" s="51"/>
      <c r="AK118" s="51"/>
      <c r="AL118" s="51"/>
      <c r="AM118" s="51"/>
      <c r="AN118" s="51"/>
      <c r="AO118" s="51"/>
      <c r="AP118" s="51"/>
      <c r="AQ118" s="51"/>
      <c r="AR118" s="51"/>
      <c r="AS118" s="51"/>
      <c r="AT118" s="51"/>
      <c r="AU118" s="51"/>
      <c r="AV118" s="51"/>
      <c r="AW118" s="51"/>
      <c r="AX118" s="51"/>
      <c r="AY118" s="51"/>
      <c r="AZ118" s="51"/>
      <c r="BA118" s="51"/>
    </row>
    <row r="119" spans="1:53" ht="15.75">
      <c r="A119" s="51"/>
      <c r="B119" s="51"/>
      <c r="C119" s="51"/>
      <c r="D119" s="51"/>
      <c r="E119" s="51"/>
      <c r="F119" s="51"/>
      <c r="G119" s="51"/>
      <c r="H119" s="51"/>
      <c r="I119" s="51"/>
      <c r="J119" s="51"/>
      <c r="K119" s="51"/>
      <c r="L119" s="51"/>
      <c r="M119" s="51"/>
      <c r="N119" s="51"/>
      <c r="O119" s="51"/>
      <c r="P119" s="51"/>
      <c r="Q119" s="51"/>
      <c r="R119" s="51"/>
      <c r="S119" s="51"/>
      <c r="T119" s="51"/>
      <c r="U119" s="51"/>
      <c r="V119" s="51"/>
      <c r="W119" s="51"/>
      <c r="X119" s="51"/>
      <c r="Y119" s="51"/>
      <c r="Z119" s="51"/>
      <c r="AA119" s="51"/>
      <c r="AB119" s="51"/>
      <c r="AC119" s="51"/>
      <c r="AD119" s="51"/>
      <c r="AE119" s="51"/>
      <c r="AF119" s="51"/>
      <c r="AG119" s="51"/>
      <c r="AH119" s="51"/>
      <c r="AI119" s="51"/>
      <c r="AJ119" s="51"/>
      <c r="AK119" s="51"/>
      <c r="AL119" s="51"/>
      <c r="AM119" s="51"/>
      <c r="AN119" s="51"/>
      <c r="AO119" s="51"/>
      <c r="AP119" s="51"/>
      <c r="AQ119" s="51"/>
      <c r="AR119" s="51"/>
      <c r="AS119" s="51"/>
      <c r="AT119" s="51"/>
      <c r="AU119" s="51"/>
      <c r="AV119" s="51"/>
      <c r="AW119" s="51"/>
      <c r="AX119" s="51"/>
      <c r="AY119" s="51"/>
      <c r="AZ119" s="51"/>
      <c r="BA119" s="51"/>
    </row>
    <row r="120" spans="1:53" ht="15.75">
      <c r="A120" s="51"/>
      <c r="B120" s="51"/>
      <c r="C120" s="51"/>
      <c r="D120" s="51"/>
      <c r="E120" s="51"/>
      <c r="F120" s="51"/>
      <c r="G120" s="51"/>
      <c r="H120" s="51"/>
      <c r="I120" s="51"/>
      <c r="J120" s="51"/>
      <c r="K120" s="51"/>
      <c r="L120" s="51"/>
      <c r="M120" s="51"/>
      <c r="N120" s="51"/>
      <c r="O120" s="51"/>
      <c r="P120" s="51"/>
      <c r="Q120" s="51"/>
      <c r="R120" s="51"/>
      <c r="S120" s="51"/>
      <c r="T120" s="51"/>
      <c r="U120" s="51"/>
      <c r="V120" s="51"/>
      <c r="W120" s="51"/>
      <c r="X120" s="51"/>
      <c r="Y120" s="51"/>
      <c r="Z120" s="51"/>
      <c r="AA120" s="51"/>
      <c r="AB120" s="51"/>
      <c r="AC120" s="51"/>
      <c r="AD120" s="51"/>
      <c r="AE120" s="51"/>
      <c r="AF120" s="51"/>
      <c r="AG120" s="51"/>
      <c r="AH120" s="51"/>
      <c r="AI120" s="51"/>
      <c r="AJ120" s="51"/>
      <c r="AK120" s="51"/>
      <c r="AL120" s="51"/>
      <c r="AM120" s="51"/>
      <c r="AN120" s="51"/>
      <c r="AO120" s="51"/>
      <c r="AP120" s="51"/>
      <c r="AQ120" s="51"/>
      <c r="AR120" s="51"/>
      <c r="AS120" s="51"/>
      <c r="AT120" s="51"/>
      <c r="AU120" s="51"/>
      <c r="AV120" s="51"/>
      <c r="AW120" s="51"/>
      <c r="AX120" s="51"/>
      <c r="AY120" s="51"/>
      <c r="AZ120" s="51"/>
      <c r="BA120" s="51"/>
    </row>
    <row r="121" spans="1:53" ht="15.75">
      <c r="A121" s="51"/>
      <c r="B121" s="51"/>
      <c r="C121" s="51"/>
      <c r="D121" s="51"/>
      <c r="E121" s="51"/>
      <c r="F121" s="51"/>
      <c r="G121" s="51"/>
      <c r="H121" s="51"/>
      <c r="I121" s="51"/>
      <c r="J121" s="51"/>
      <c r="K121" s="51"/>
      <c r="L121" s="51"/>
      <c r="M121" s="51"/>
      <c r="N121" s="51"/>
      <c r="O121" s="51"/>
      <c r="P121" s="51"/>
      <c r="Q121" s="51"/>
      <c r="R121" s="51"/>
      <c r="S121" s="51"/>
      <c r="T121" s="51"/>
      <c r="U121" s="51"/>
      <c r="V121" s="51"/>
      <c r="W121" s="51"/>
      <c r="X121" s="51"/>
      <c r="Y121" s="51"/>
      <c r="Z121" s="51"/>
      <c r="AA121" s="51"/>
      <c r="AB121" s="51"/>
      <c r="AC121" s="51"/>
      <c r="AD121" s="51"/>
      <c r="AE121" s="51"/>
      <c r="AF121" s="51"/>
      <c r="AG121" s="51"/>
      <c r="AH121" s="51"/>
      <c r="AI121" s="51"/>
      <c r="AJ121" s="51"/>
      <c r="AK121" s="51"/>
      <c r="AL121" s="51"/>
      <c r="AM121" s="51"/>
      <c r="AN121" s="51"/>
      <c r="AO121" s="51"/>
      <c r="AP121" s="51"/>
      <c r="AQ121" s="51"/>
      <c r="AR121" s="51"/>
      <c r="AS121" s="51"/>
      <c r="AT121" s="51"/>
      <c r="AU121" s="51"/>
      <c r="AV121" s="51"/>
      <c r="AW121" s="51"/>
      <c r="AX121" s="51"/>
      <c r="AY121" s="51"/>
      <c r="AZ121" s="51"/>
      <c r="BA121" s="51"/>
    </row>
    <row r="122" spans="1:53" ht="15.75">
      <c r="A122" s="51"/>
      <c r="B122" s="51"/>
      <c r="C122" s="51"/>
      <c r="D122" s="51"/>
      <c r="E122" s="51"/>
      <c r="F122" s="51"/>
      <c r="G122" s="51"/>
      <c r="H122" s="51"/>
      <c r="I122" s="51"/>
      <c r="J122" s="51"/>
      <c r="K122" s="51"/>
      <c r="L122" s="51"/>
      <c r="M122" s="51"/>
      <c r="N122" s="51"/>
      <c r="O122" s="51"/>
      <c r="P122" s="51"/>
      <c r="Q122" s="51"/>
      <c r="R122" s="51"/>
      <c r="S122" s="51"/>
      <c r="T122" s="51"/>
      <c r="U122" s="51"/>
      <c r="V122" s="51"/>
      <c r="W122" s="51"/>
      <c r="X122" s="51"/>
      <c r="Y122" s="51"/>
      <c r="Z122" s="51"/>
      <c r="AA122" s="51"/>
      <c r="AB122" s="51"/>
      <c r="AC122" s="51"/>
      <c r="AD122" s="51"/>
      <c r="AE122" s="51"/>
      <c r="AF122" s="51"/>
      <c r="AG122" s="51"/>
      <c r="AH122" s="51"/>
      <c r="AI122" s="51"/>
      <c r="AJ122" s="51"/>
      <c r="AK122" s="51"/>
      <c r="AL122" s="51"/>
      <c r="AM122" s="51"/>
      <c r="AN122" s="51"/>
      <c r="AO122" s="51"/>
      <c r="AP122" s="51"/>
      <c r="AQ122" s="51"/>
      <c r="AR122" s="51"/>
      <c r="AS122" s="51"/>
      <c r="AT122" s="51"/>
      <c r="AU122" s="51"/>
      <c r="AV122" s="51"/>
      <c r="AW122" s="51"/>
      <c r="AX122" s="51"/>
      <c r="AY122" s="51"/>
      <c r="AZ122" s="51"/>
      <c r="BA122" s="51"/>
    </row>
  </sheetData>
  <phoneticPr fontId="8" type="noConversion"/>
  <dataValidations count="14">
    <dataValidation type="list" allowBlank="1" showInputMessage="1" sqref="AA19">
      <formula1>'[1]6735_coolers'!A2:A134</formula1>
    </dataValidation>
    <dataValidation type="list" allowBlank="1" showInputMessage="1" sqref="AE61 AE47 AE40 AE33 AE26 AE19 AE12 AE68 AI26 AU5 C5 C33 C47 C54 C61 C68 AU12 G5 G19 G26 G33 G40 G47 G54 G61 G68 AY19 AU68 AY26 AQ5 K33 K40 K47 K54 K61 K68 O12 O5 O19 O26 O33 O40 O47 O54 O61 O68 S12 S5 S19 S26 S33 S40 S47 S54 S61 S68 W12 W5 W19 W26 W33 W40 W47 W54 W61 W68 C40 AY47 G12 AA68 AA61 AA54 AA47 AI19 C19 AY12 AY68 C26 AY40 AY61 AY54 AA12 AA33 AA40 AY33 AY5 AE54 AI12 AM5 AM61 AM54 AM47 AM40 AM33 AM26 AM19 AM12 AM68 AA26 AQ61 AQ54 AQ47 AQ40 AQ33 AQ26 AQ19 AQ12 AQ68 AI47 AU61 AU54 AU47 AU40 AU33 AU26 AU19 AI5 AI61 AI54 AI40 AI33 AI68 K19 K12 K5 K26">
      <formula1>'6755_coolers'!A2:A137</formula1>
    </dataValidation>
    <dataValidation type="list" allowBlank="1" showInputMessage="1" showErrorMessage="1" sqref="AU1 C1 G1 AY1 O1 S1 W1 AI1 AA1 AM1 AQ1 K1">
      <formula1>'6755_tz'!A2:A97</formula1>
    </dataValidation>
    <dataValidation type="decimal" allowBlank="1" showInputMessage="1" showErrorMessage="1" errorTitle="Invalid" error="Must between [-1, 65535]" promptTitle="Range" prompt="between [-1, 65535]" sqref="L79:L81">
      <formula1>-1</formula1>
      <formula2>65535</formula2>
    </dataValidation>
    <dataValidation type="decimal" allowBlank="1" showInputMessage="1" showErrorMessage="1" errorTitle="Invalid" error="Must be 0 or 1" promptTitle="kernel log" prompt="0, off (default)_x000a_1, on" sqref="L78 AJ78">
      <formula1>0</formula1>
      <formula2>1</formula2>
    </dataValidation>
    <dataValidation type="decimal" allowBlank="1" showInputMessage="1" showErrorMessage="1" errorTitle="Invalid" error="Must between [-1, 65535]" promptTitle="Range" prompt="0 or between [100, 25500]" sqref="AN79:AN80 AR79:AR80 AV79:AV80 AJ79:AJ86">
      <formula1>0</formula1>
      <formula2>25500</formula2>
    </dataValidation>
    <dataValidation type="decimal" allowBlank="1" showInputMessage="1" showErrorMessage="1" errorTitle="Invalid" error="Must be 0 or 1" promptTitle="kernel log" prompt="[1, max step]" sqref="AN78 AR78 AV78">
      <formula1>1</formula1>
      <formula2>5</formula2>
    </dataValidation>
    <dataValidation type="list" allowBlank="1" showInputMessage="1" showErrorMessage="1" sqref="T77 D1 H1 T1 X1 P1 AB1 X77 AJ1 AN1 AR1 H77 L77 AZ77 AF1 AB77 P77 D77 AV1 AZ1 AV77 AF77 AJ77 AN77 AR77 L1">
      <formula1>"ENABLE,DISABLE"</formula1>
    </dataValidation>
    <dataValidation type="list" allowBlank="1" showInputMessage="1" showErrorMessage="1" sqref="AA41:AA43 AY20:AY22 AE55:AE57 AE48:AE50 AE41:AE43 AE34:AE36 AE27:AE29 AE20:AE22 AE69:AE71 AE13:AE15 AE62:AE64 AI69:AI71 AU62:AU64 O13:O15 O69:O71 O20:O22 O27:O29 O34:O36 O41:O43 O6:O8 O48:O50 O55:O57 O62:O64 C69:C71 C34:C36 C6:C8 C48:C50 C55:C57 C62:C64 S13:S15 S69:S71 S20:S22 S27:S29 S34:S36 S41:S43 S6:S8 S48:S50 S55:S57 S62:S64 AQ6:AQ8 G69:G71 G20:G22 K69:K71 G27:G29 G34:G36 G41:G43 AY55:AY57 K34:K36 G6:G8 G48:G50 G55:G57 K41:K43 AA6:AA8 G62:G64 K48:K50 K55:K57 K62:K64 W13:W15 W69:W71 W20:W22 W27:W29 W34:W36 W41:W43 W6:W8 W48:W50 W55:W57 W62:W64 C27:C29 AU6:AU8 AM6:AM8 G13:G15 AA55:AA57 AA48:AA50 AI62:AI64 AI13:AI15 C20:C22 AY62:AY64 AA69:AA71 AY69:AY71 AA62:AA64 AY48:AY50 AY41:AY43 AY34:AY36 AY27:AY29 AY13:AY15 AA27:AA29 AY6:AY8 C41:C43 AI20:AI22 AE6:AE8 AM55:AM57 AM48:AM50 AM41:AM43 AM34:AM36 AM27:AM29 AM20:AM22 AM69:AM71 AM13:AM15 AM62:AM64 AA34:AA36 AQ55:AQ57 AQ48:AQ50 AQ41:AQ43 AQ34:AQ36 AQ27:AQ29 AQ20:AQ22 AQ69:AQ71 AQ13:AQ15 AQ62:AQ64 AI48:AI50 AU55:AU57 AU48:AU50 AU41:AU43 AU34:AU36 AU27:AU29 AU20:AU22 AU69:AU71 AU13:AU15 AI6:AI8 AI55:AI57 AI41:AI43 AI34:AI36 AI27:AI29 AA13:AA15 K13:K15 K20:K22 K6:K8 K27:K29">
      <formula1>"NULL, CPU0 loading(%), Wifi usage(Kb/s), &lt; Mobile usage(Kb/s), EXIT, mtktscpu, mtktsabb, mtktspmic, mtktsbattery, mtktspa, mtktswmt, mtktsAP, mtktsbuck, mtktsbattery2, mtktsxtal"</formula1>
    </dataValidation>
    <dataValidation type="list" allowBlank="1" showInputMessage="1" showErrorMessage="1" sqref="AE1">
      <formula1>'[2]6755_tz'!A2:A97</formula1>
    </dataValidation>
    <dataValidation type="list" allowBlank="1" showInputMessage="1" sqref="AE5">
      <formula1>'[2]6755_coolers'!A2:A134</formula1>
    </dataValidation>
    <dataValidation type="list" allowBlank="1" showInputMessage="1" sqref="AA5">
      <formula1>'[3]6755_coolers'!A2:A134</formula1>
    </dataValidation>
    <dataValidation type="list" allowBlank="1" showInputMessage="1" showErrorMessage="1" sqref="C13:C15 AA20:AA22">
      <formula1>"NULL, CPU0 loading(%), Wifi usage(Kb/s), EXIT, mtktscpu, mtktsabb, mtktspmic, mtktsbattery, mtktspa, mtktswmt, mtktsAP, mtktsbuck, mtktsbattery2, mtktsxtal"</formula1>
    </dataValidation>
    <dataValidation type="list" allowBlank="1" showInputMessage="1" sqref="C12">
      <formula1>'[4]6755_coolers'!A2:A134</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sheetPr codeName="Sheet90">
    <tabColor rgb="FFFF0000"/>
  </sheetPr>
  <dimension ref="A1:BA122"/>
  <sheetViews>
    <sheetView zoomScale="90" zoomScaleNormal="90" workbookViewId="0">
      <selection activeCell="AA16" sqref="AA16:AA17"/>
    </sheetView>
  </sheetViews>
  <sheetFormatPr defaultRowHeight="14.2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9.140625" style="7"/>
    <col min="54" max="16384" width="9.140625" style="1"/>
  </cols>
  <sheetData>
    <row r="1" spans="1:53" ht="57.75" customHeight="1">
      <c r="A1" s="1" t="s">
        <v>182</v>
      </c>
      <c r="B1" s="2" t="s">
        <v>35</v>
      </c>
      <c r="C1" s="3" t="s">
        <v>23</v>
      </c>
      <c r="D1" s="4" t="s">
        <v>36</v>
      </c>
      <c r="E1" s="5"/>
      <c r="F1" s="2" t="s">
        <v>35</v>
      </c>
      <c r="G1" s="3" t="s">
        <v>24</v>
      </c>
      <c r="H1" s="4" t="s">
        <v>36</v>
      </c>
      <c r="I1" s="5"/>
      <c r="J1" s="2" t="s">
        <v>35</v>
      </c>
      <c r="K1" s="3" t="s">
        <v>25</v>
      </c>
      <c r="L1" s="4" t="s">
        <v>36</v>
      </c>
      <c r="M1" s="6"/>
      <c r="N1" s="2" t="s">
        <v>35</v>
      </c>
      <c r="O1" s="3" t="s">
        <v>26</v>
      </c>
      <c r="P1" s="4" t="s">
        <v>36</v>
      </c>
      <c r="Q1" s="6"/>
      <c r="R1" s="2" t="s">
        <v>35</v>
      </c>
      <c r="S1" s="3" t="s">
        <v>34</v>
      </c>
      <c r="T1" s="4" t="s">
        <v>36</v>
      </c>
      <c r="U1" s="6"/>
      <c r="V1" s="2" t="s">
        <v>35</v>
      </c>
      <c r="W1" s="3" t="s">
        <v>27</v>
      </c>
      <c r="X1" s="4" t="s">
        <v>36</v>
      </c>
      <c r="Y1" s="6"/>
      <c r="Z1" s="2" t="s">
        <v>35</v>
      </c>
      <c r="AA1" s="3" t="s">
        <v>68</v>
      </c>
      <c r="AB1" s="4" t="s">
        <v>36</v>
      </c>
      <c r="AC1" s="6"/>
      <c r="AD1" s="2" t="s">
        <v>35</v>
      </c>
      <c r="AE1" s="3" t="s">
        <v>69</v>
      </c>
      <c r="AF1" s="4" t="s">
        <v>36</v>
      </c>
      <c r="AG1" s="6"/>
      <c r="AH1" s="2" t="s">
        <v>35</v>
      </c>
      <c r="AI1" s="3" t="s">
        <v>132</v>
      </c>
      <c r="AJ1" s="4" t="s">
        <v>36</v>
      </c>
      <c r="AK1" s="6"/>
      <c r="AL1" s="2" t="s">
        <v>35</v>
      </c>
      <c r="AM1" s="3" t="s">
        <v>128</v>
      </c>
      <c r="AN1" s="4" t="s">
        <v>36</v>
      </c>
      <c r="AO1" s="6"/>
      <c r="AP1" s="2" t="s">
        <v>35</v>
      </c>
      <c r="AQ1" s="3" t="s">
        <v>233</v>
      </c>
      <c r="AR1" s="4" t="s">
        <v>36</v>
      </c>
      <c r="AS1" s="6"/>
      <c r="AT1" s="2" t="s">
        <v>35</v>
      </c>
      <c r="AU1" s="3" t="s">
        <v>234</v>
      </c>
      <c r="AV1" s="4" t="s">
        <v>36</v>
      </c>
      <c r="AW1" s="6"/>
      <c r="AX1" s="2" t="s">
        <v>35</v>
      </c>
      <c r="AY1" s="3" t="s">
        <v>129</v>
      </c>
      <c r="AZ1" s="4" t="s">
        <v>36</v>
      </c>
      <c r="BA1" s="51"/>
    </row>
    <row r="2" spans="1:53" ht="30.75" customHeight="1">
      <c r="B2" s="2" t="s">
        <v>9</v>
      </c>
      <c r="C2" s="3">
        <v>2</v>
      </c>
      <c r="D2" s="8"/>
      <c r="E2" s="9"/>
      <c r="F2" s="2" t="s">
        <v>9</v>
      </c>
      <c r="G2" s="3">
        <v>1</v>
      </c>
      <c r="H2" s="8"/>
      <c r="I2" s="10"/>
      <c r="J2" s="2" t="s">
        <v>9</v>
      </c>
      <c r="K2" s="3">
        <v>1</v>
      </c>
      <c r="L2" s="8"/>
      <c r="M2" s="10"/>
      <c r="N2" s="2" t="s">
        <v>9</v>
      </c>
      <c r="O2" s="3">
        <v>1</v>
      </c>
      <c r="P2" s="8"/>
      <c r="Q2" s="10"/>
      <c r="R2" s="2" t="s">
        <v>9</v>
      </c>
      <c r="S2" s="3">
        <v>1</v>
      </c>
      <c r="T2" s="8"/>
      <c r="U2" s="10"/>
      <c r="V2" s="2" t="s">
        <v>9</v>
      </c>
      <c r="W2" s="3">
        <v>1</v>
      </c>
      <c r="X2" s="8"/>
      <c r="Y2" s="10"/>
      <c r="Z2" s="2" t="s">
        <v>9</v>
      </c>
      <c r="AA2" s="3">
        <v>3</v>
      </c>
      <c r="AB2" s="8"/>
      <c r="AC2" s="10"/>
      <c r="AD2" s="2" t="s">
        <v>9</v>
      </c>
      <c r="AE2" s="3">
        <v>1</v>
      </c>
      <c r="AF2" s="8"/>
      <c r="AG2" s="10"/>
      <c r="AH2" s="2" t="s">
        <v>9</v>
      </c>
      <c r="AI2" s="3">
        <v>7</v>
      </c>
      <c r="AJ2" s="46"/>
      <c r="AK2" s="10"/>
      <c r="AL2" s="2" t="s">
        <v>9</v>
      </c>
      <c r="AM2" s="3">
        <v>0</v>
      </c>
      <c r="AN2" s="8"/>
      <c r="AO2" s="10"/>
      <c r="AP2" s="2" t="s">
        <v>9</v>
      </c>
      <c r="AQ2" s="3">
        <v>0</v>
      </c>
      <c r="AR2" s="8"/>
      <c r="AS2" s="10"/>
      <c r="AT2" s="2" t="s">
        <v>9</v>
      </c>
      <c r="AU2" s="3">
        <v>0</v>
      </c>
      <c r="AV2" s="8"/>
      <c r="AW2" s="10"/>
      <c r="AX2" s="2" t="s">
        <v>9</v>
      </c>
      <c r="AY2" s="3">
        <v>0</v>
      </c>
      <c r="AZ2" s="8"/>
      <c r="BA2" s="51"/>
    </row>
    <row r="3" spans="1:53" ht="15" customHeight="1">
      <c r="A3" s="11"/>
      <c r="B3" s="12" t="s">
        <v>7</v>
      </c>
      <c r="C3" s="13">
        <v>117000</v>
      </c>
      <c r="D3" s="14"/>
      <c r="E3" s="9"/>
      <c r="F3" s="12" t="s">
        <v>7</v>
      </c>
      <c r="G3" s="13">
        <v>145000</v>
      </c>
      <c r="H3" s="14"/>
      <c r="I3" s="10"/>
      <c r="J3" s="12" t="s">
        <v>7</v>
      </c>
      <c r="K3" s="13">
        <v>60000</v>
      </c>
      <c r="L3" s="14"/>
      <c r="M3" s="10"/>
      <c r="N3" s="12" t="s">
        <v>7</v>
      </c>
      <c r="O3" s="13">
        <v>120000</v>
      </c>
      <c r="P3" s="14"/>
      <c r="Q3" s="10"/>
      <c r="R3" s="12" t="s">
        <v>7</v>
      </c>
      <c r="S3" s="13">
        <v>117000</v>
      </c>
      <c r="T3" s="14"/>
      <c r="U3" s="10"/>
      <c r="V3" s="12" t="s">
        <v>7</v>
      </c>
      <c r="W3" s="13">
        <v>120000</v>
      </c>
      <c r="X3" s="14"/>
      <c r="Y3" s="10"/>
      <c r="Z3" s="12" t="s">
        <v>7</v>
      </c>
      <c r="AA3" s="13">
        <v>100000</v>
      </c>
      <c r="AB3" s="14"/>
      <c r="AC3" s="10"/>
      <c r="AD3" s="12" t="s">
        <v>7</v>
      </c>
      <c r="AE3" s="13">
        <v>120000</v>
      </c>
      <c r="AF3" s="14"/>
      <c r="AG3" s="10"/>
      <c r="AH3" s="12" t="s">
        <v>7</v>
      </c>
      <c r="AI3" s="13">
        <v>120000</v>
      </c>
      <c r="AJ3" s="43"/>
      <c r="AK3" s="10"/>
      <c r="AL3" s="12" t="s">
        <v>7</v>
      </c>
      <c r="AM3" s="13">
        <v>0</v>
      </c>
      <c r="AN3" s="14"/>
      <c r="AO3" s="10"/>
      <c r="AP3" s="12" t="s">
        <v>7</v>
      </c>
      <c r="AQ3" s="13">
        <v>0</v>
      </c>
      <c r="AR3" s="14"/>
      <c r="AS3" s="10"/>
      <c r="AT3" s="12" t="s">
        <v>7</v>
      </c>
      <c r="AU3" s="13">
        <v>0</v>
      </c>
      <c r="AV3" s="14"/>
      <c r="AW3" s="10"/>
      <c r="AX3" s="12" t="s">
        <v>7</v>
      </c>
      <c r="AY3" s="13">
        <v>0</v>
      </c>
      <c r="AZ3" s="14"/>
      <c r="BA3" s="51"/>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15">
        <v>0</v>
      </c>
      <c r="AJ4" s="43"/>
      <c r="AK4" s="10"/>
      <c r="AL4" s="12" t="s">
        <v>6</v>
      </c>
      <c r="AM4" s="15">
        <v>0</v>
      </c>
      <c r="AN4" s="14"/>
      <c r="AO4" s="10"/>
      <c r="AP4" s="12" t="s">
        <v>6</v>
      </c>
      <c r="AQ4" s="15">
        <v>0</v>
      </c>
      <c r="AR4" s="14"/>
      <c r="AS4" s="10"/>
      <c r="AT4" s="12" t="s">
        <v>6</v>
      </c>
      <c r="AU4" s="15">
        <v>0</v>
      </c>
      <c r="AV4" s="14"/>
      <c r="AW4" s="10"/>
      <c r="AX4" s="12" t="s">
        <v>6</v>
      </c>
      <c r="AY4" s="15">
        <v>0</v>
      </c>
      <c r="AZ4" s="14"/>
      <c r="BA4" s="51"/>
    </row>
    <row r="5" spans="1:53" ht="15" customHeight="1">
      <c r="A5" s="11"/>
      <c r="B5" s="12" t="s">
        <v>5</v>
      </c>
      <c r="C5" s="13" t="s">
        <v>15</v>
      </c>
      <c r="D5" s="14"/>
      <c r="E5" s="9"/>
      <c r="F5" s="12" t="s">
        <v>5</v>
      </c>
      <c r="G5" s="13" t="s">
        <v>1</v>
      </c>
      <c r="H5" s="14"/>
      <c r="I5" s="10"/>
      <c r="J5" s="12" t="s">
        <v>5</v>
      </c>
      <c r="K5" s="13" t="s">
        <v>2</v>
      </c>
      <c r="L5" s="14"/>
      <c r="M5" s="10"/>
      <c r="N5" s="12" t="s">
        <v>5</v>
      </c>
      <c r="O5" s="13" t="s">
        <v>3</v>
      </c>
      <c r="P5" s="14"/>
      <c r="Q5" s="10"/>
      <c r="R5" s="12" t="s">
        <v>5</v>
      </c>
      <c r="S5" s="13" t="s">
        <v>0</v>
      </c>
      <c r="T5" s="14"/>
      <c r="U5" s="10"/>
      <c r="V5" s="12" t="s">
        <v>5</v>
      </c>
      <c r="W5" s="13" t="s">
        <v>16</v>
      </c>
      <c r="X5" s="14"/>
      <c r="Y5" s="10"/>
      <c r="Z5" s="12" t="s">
        <v>5</v>
      </c>
      <c r="AA5" s="13" t="s">
        <v>17</v>
      </c>
      <c r="AB5" s="14"/>
      <c r="AC5" s="10"/>
      <c r="AD5" s="12" t="s">
        <v>5</v>
      </c>
      <c r="AE5" s="13" t="s">
        <v>108</v>
      </c>
      <c r="AF5" s="14"/>
      <c r="AG5" s="10"/>
      <c r="AH5" s="12" t="s">
        <v>5</v>
      </c>
      <c r="AI5" s="13" t="s">
        <v>108</v>
      </c>
      <c r="AJ5" s="43"/>
      <c r="AK5" s="10"/>
      <c r="AL5" s="12" t="s">
        <v>5</v>
      </c>
      <c r="AM5" s="13" t="s">
        <v>4</v>
      </c>
      <c r="AN5" s="14"/>
      <c r="AO5" s="10"/>
      <c r="AP5" s="12" t="s">
        <v>5</v>
      </c>
      <c r="AQ5" s="13" t="s">
        <v>4</v>
      </c>
      <c r="AR5" s="14"/>
      <c r="AS5" s="10"/>
      <c r="AT5" s="12" t="s">
        <v>5</v>
      </c>
      <c r="AU5" s="13" t="s">
        <v>4</v>
      </c>
      <c r="AV5" s="14"/>
      <c r="AW5" s="10"/>
      <c r="AX5" s="12" t="s">
        <v>5</v>
      </c>
      <c r="AY5" s="13" t="s">
        <v>4</v>
      </c>
      <c r="AZ5" s="14"/>
      <c r="BA5" s="51"/>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4">
        <v>0</v>
      </c>
      <c r="AG6" s="10"/>
      <c r="AH6" s="12" t="s">
        <v>11</v>
      </c>
      <c r="AI6" s="15" t="s">
        <v>13</v>
      </c>
      <c r="AJ6" s="15">
        <v>0</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s="51"/>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s="51"/>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s="51"/>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s="51"/>
    </row>
    <row r="10" spans="1:53" ht="15" customHeight="1">
      <c r="A10" s="11"/>
      <c r="B10" s="12" t="s">
        <v>7</v>
      </c>
      <c r="C10" s="44">
        <v>68000</v>
      </c>
      <c r="D10" s="14"/>
      <c r="E10" s="10"/>
      <c r="F10" s="12" t="s">
        <v>7</v>
      </c>
      <c r="G10" s="13">
        <v>0</v>
      </c>
      <c r="H10" s="14"/>
      <c r="I10" s="10"/>
      <c r="J10" s="12" t="s">
        <v>7</v>
      </c>
      <c r="K10" s="13">
        <v>0</v>
      </c>
      <c r="L10" s="14"/>
      <c r="M10" s="10"/>
      <c r="N10" s="12" t="s">
        <v>7</v>
      </c>
      <c r="O10" s="13">
        <v>0</v>
      </c>
      <c r="P10" s="14"/>
      <c r="Q10" s="10"/>
      <c r="R10" s="12" t="s">
        <v>7</v>
      </c>
      <c r="S10" s="13">
        <v>0</v>
      </c>
      <c r="T10" s="14"/>
      <c r="U10" s="10"/>
      <c r="V10" s="12" t="s">
        <v>7</v>
      </c>
      <c r="W10" s="13">
        <v>0</v>
      </c>
      <c r="X10" s="14"/>
      <c r="Y10" s="10"/>
      <c r="Z10" s="12" t="s">
        <v>7</v>
      </c>
      <c r="AA10" s="50">
        <v>90000</v>
      </c>
      <c r="AB10" s="14"/>
      <c r="AC10" s="10"/>
      <c r="AD10" s="12" t="s">
        <v>7</v>
      </c>
      <c r="AE10" s="13">
        <v>0</v>
      </c>
      <c r="AF10" s="14"/>
      <c r="AG10" s="10"/>
      <c r="AH10" s="12" t="s">
        <v>7</v>
      </c>
      <c r="AI10" s="44">
        <v>85000</v>
      </c>
      <c r="AJ10" s="14"/>
      <c r="AK10" s="10"/>
      <c r="AL10" s="12" t="s">
        <v>7</v>
      </c>
      <c r="AM10" s="13">
        <v>0</v>
      </c>
      <c r="AN10" s="14"/>
      <c r="AO10" s="10"/>
      <c r="AP10" s="12" t="s">
        <v>7</v>
      </c>
      <c r="AQ10" s="13">
        <v>0</v>
      </c>
      <c r="AR10" s="14"/>
      <c r="AS10" s="10"/>
      <c r="AT10" s="12" t="s">
        <v>7</v>
      </c>
      <c r="AU10" s="13">
        <v>0</v>
      </c>
      <c r="AV10" s="14"/>
      <c r="AW10" s="10"/>
      <c r="AX10" s="12" t="s">
        <v>7</v>
      </c>
      <c r="AY10" s="13">
        <v>0</v>
      </c>
      <c r="AZ10" s="14"/>
      <c r="BA10" s="51"/>
    </row>
    <row r="11" spans="1:53" ht="15" customHeight="1">
      <c r="A11" s="11"/>
      <c r="B11" s="12" t="s">
        <v>6</v>
      </c>
      <c r="C11" s="15">
        <v>0</v>
      </c>
      <c r="D11" s="14"/>
      <c r="E11" s="10"/>
      <c r="F11" s="12" t="s">
        <v>6</v>
      </c>
      <c r="G11" s="15">
        <v>0</v>
      </c>
      <c r="H11" s="14"/>
      <c r="I11" s="10"/>
      <c r="J11" s="12" t="s">
        <v>6</v>
      </c>
      <c r="K11" s="15">
        <v>0</v>
      </c>
      <c r="L11" s="14"/>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15">
        <v>0</v>
      </c>
      <c r="AJ11" s="14"/>
      <c r="AK11" s="10"/>
      <c r="AL11" s="12" t="s">
        <v>6</v>
      </c>
      <c r="AM11" s="15">
        <v>0</v>
      </c>
      <c r="AN11" s="14"/>
      <c r="AO11" s="10"/>
      <c r="AP11" s="12" t="s">
        <v>6</v>
      </c>
      <c r="AQ11" s="15">
        <v>0</v>
      </c>
      <c r="AR11" s="14"/>
      <c r="AS11" s="10"/>
      <c r="AT11" s="12" t="s">
        <v>6</v>
      </c>
      <c r="AU11" s="15">
        <v>0</v>
      </c>
      <c r="AV11" s="14"/>
      <c r="AW11" s="10"/>
      <c r="AX11" s="12" t="s">
        <v>6</v>
      </c>
      <c r="AY11" s="15">
        <v>0</v>
      </c>
      <c r="AZ11" s="14"/>
      <c r="BA11" s="51"/>
    </row>
    <row r="12" spans="1:53" ht="15" customHeight="1">
      <c r="A12" s="11"/>
      <c r="B12" s="12" t="s">
        <v>5</v>
      </c>
      <c r="C12" s="13" t="s">
        <v>51</v>
      </c>
      <c r="D12" s="14"/>
      <c r="E12" s="10"/>
      <c r="F12" s="12" t="s">
        <v>5</v>
      </c>
      <c r="G12" s="13" t="s">
        <v>4</v>
      </c>
      <c r="H12" s="14"/>
      <c r="I12" s="10"/>
      <c r="J12" s="12" t="s">
        <v>5</v>
      </c>
      <c r="K12" s="13" t="s">
        <v>4</v>
      </c>
      <c r="L12" s="14"/>
      <c r="M12" s="10"/>
      <c r="N12" s="12" t="s">
        <v>5</v>
      </c>
      <c r="O12" s="13" t="s">
        <v>4</v>
      </c>
      <c r="P12" s="14"/>
      <c r="Q12" s="10"/>
      <c r="R12" s="12" t="s">
        <v>5</v>
      </c>
      <c r="S12" s="13" t="s">
        <v>4</v>
      </c>
      <c r="T12" s="14"/>
      <c r="U12" s="10"/>
      <c r="V12" s="12" t="s">
        <v>5</v>
      </c>
      <c r="W12" s="13" t="s">
        <v>4</v>
      </c>
      <c r="X12" s="14"/>
      <c r="Y12" s="10"/>
      <c r="Z12" s="12" t="s">
        <v>5</v>
      </c>
      <c r="AA12" s="50" t="s">
        <v>107</v>
      </c>
      <c r="AB12" s="14"/>
      <c r="AC12" s="10"/>
      <c r="AD12" s="12" t="s">
        <v>5</v>
      </c>
      <c r="AE12" s="13" t="s">
        <v>4</v>
      </c>
      <c r="AF12" s="14"/>
      <c r="AG12" s="10"/>
      <c r="AH12" s="12" t="s">
        <v>5</v>
      </c>
      <c r="AI12" s="54" t="s">
        <v>253</v>
      </c>
      <c r="AJ12" s="14"/>
      <c r="AK12" s="10"/>
      <c r="AL12" s="12" t="s">
        <v>5</v>
      </c>
      <c r="AM12" s="13" t="s">
        <v>4</v>
      </c>
      <c r="AN12" s="14"/>
      <c r="AO12" s="10"/>
      <c r="AP12" s="12" t="s">
        <v>5</v>
      </c>
      <c r="AQ12" s="13" t="s">
        <v>4</v>
      </c>
      <c r="AR12" s="14"/>
      <c r="AS12" s="10"/>
      <c r="AT12" s="12" t="s">
        <v>5</v>
      </c>
      <c r="AU12" s="13" t="s">
        <v>4</v>
      </c>
      <c r="AV12" s="14"/>
      <c r="AW12" s="10"/>
      <c r="AX12" s="12" t="s">
        <v>5</v>
      </c>
      <c r="AY12" s="13" t="s">
        <v>4</v>
      </c>
      <c r="AZ12" s="14"/>
      <c r="BA12" s="51"/>
    </row>
    <row r="13" spans="1:53" ht="15" customHeight="1">
      <c r="A13" s="11"/>
      <c r="B13" s="12" t="s">
        <v>11</v>
      </c>
      <c r="C13" s="15" t="s">
        <v>131</v>
      </c>
      <c r="D13" s="14">
        <v>6000</v>
      </c>
      <c r="E13" s="9"/>
      <c r="F13" s="12" t="s">
        <v>11</v>
      </c>
      <c r="G13" s="15" t="s">
        <v>13</v>
      </c>
      <c r="H13" s="14">
        <v>0</v>
      </c>
      <c r="I13" s="10"/>
      <c r="J13" s="12" t="s">
        <v>11</v>
      </c>
      <c r="K13" s="15" t="s">
        <v>13</v>
      </c>
      <c r="L13" s="14">
        <v>0</v>
      </c>
      <c r="M13" s="10"/>
      <c r="N13" s="12" t="s">
        <v>11</v>
      </c>
      <c r="O13" s="15" t="s">
        <v>13</v>
      </c>
      <c r="P13" s="14">
        <v>0</v>
      </c>
      <c r="Q13" s="10"/>
      <c r="R13" s="12" t="s">
        <v>11</v>
      </c>
      <c r="S13" s="15" t="s">
        <v>13</v>
      </c>
      <c r="T13" s="14">
        <v>0</v>
      </c>
      <c r="U13" s="10"/>
      <c r="V13" s="12" t="s">
        <v>11</v>
      </c>
      <c r="W13" s="15" t="s">
        <v>13</v>
      </c>
      <c r="X13" s="14">
        <v>0</v>
      </c>
      <c r="Y13" s="10"/>
      <c r="Z13" s="12" t="s">
        <v>11</v>
      </c>
      <c r="AA13" s="15" t="s">
        <v>13</v>
      </c>
      <c r="AB13" s="14">
        <v>0</v>
      </c>
      <c r="AC13" s="10"/>
      <c r="AD13" s="12" t="s">
        <v>11</v>
      </c>
      <c r="AE13" s="15" t="s">
        <v>13</v>
      </c>
      <c r="AF13" s="14">
        <v>0</v>
      </c>
      <c r="AG13" s="10"/>
      <c r="AH13" s="12" t="s">
        <v>11</v>
      </c>
      <c r="AI13" s="54" t="s">
        <v>131</v>
      </c>
      <c r="AJ13" s="55">
        <v>2000</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s="51"/>
    </row>
    <row r="14" spans="1:53" ht="15" customHeight="1">
      <c r="A14" s="11"/>
      <c r="B14" s="12" t="s">
        <v>12</v>
      </c>
      <c r="C14" s="15" t="s">
        <v>13</v>
      </c>
      <c r="D14" s="14">
        <v>0</v>
      </c>
      <c r="E14" s="9"/>
      <c r="F14" s="12" t="s">
        <v>12</v>
      </c>
      <c r="G14" s="15" t="s">
        <v>13</v>
      </c>
      <c r="H14" s="14">
        <v>0</v>
      </c>
      <c r="I14" s="10"/>
      <c r="J14" s="12" t="s">
        <v>12</v>
      </c>
      <c r="K14" s="15" t="s">
        <v>13</v>
      </c>
      <c r="L14" s="14">
        <v>0</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6">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s="51"/>
    </row>
    <row r="15" spans="1:53" ht="15" customHeight="1">
      <c r="A15" s="11"/>
      <c r="B15" s="12" t="s">
        <v>14</v>
      </c>
      <c r="C15" s="15" t="s">
        <v>13</v>
      </c>
      <c r="D15" s="14">
        <v>0</v>
      </c>
      <c r="E15" s="9"/>
      <c r="F15" s="12" t="s">
        <v>14</v>
      </c>
      <c r="G15" s="15" t="s">
        <v>13</v>
      </c>
      <c r="H15" s="14">
        <v>0</v>
      </c>
      <c r="I15" s="10"/>
      <c r="J15" s="12" t="s">
        <v>14</v>
      </c>
      <c r="K15" s="15" t="s">
        <v>13</v>
      </c>
      <c r="L15" s="14">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s="51"/>
    </row>
    <row r="16" spans="1:53" s="20" customFormat="1" ht="5.0999999999999996" customHeight="1">
      <c r="A16" s="17"/>
      <c r="B16" s="18"/>
      <c r="C16" s="18"/>
      <c r="D16" s="18"/>
      <c r="E16" s="19"/>
      <c r="F16" s="18"/>
      <c r="G16" s="18"/>
      <c r="H16" s="18"/>
      <c r="I16" s="19"/>
      <c r="J16" s="18"/>
      <c r="K16" s="56"/>
      <c r="L16" s="56"/>
      <c r="M16" s="19"/>
      <c r="N16" s="18"/>
      <c r="O16" s="18"/>
      <c r="P16" s="18"/>
      <c r="Q16" s="19"/>
      <c r="R16" s="18"/>
      <c r="S16" s="18"/>
      <c r="T16" s="18"/>
      <c r="U16" s="19"/>
      <c r="V16" s="18"/>
      <c r="W16" s="18"/>
      <c r="X16" s="18"/>
      <c r="Y16" s="19"/>
      <c r="Z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s="51"/>
    </row>
    <row r="17" spans="1:53" ht="15" customHeight="1">
      <c r="A17" s="11"/>
      <c r="B17" s="12" t="s">
        <v>7</v>
      </c>
      <c r="C17" s="13">
        <v>0</v>
      </c>
      <c r="D17" s="14"/>
      <c r="E17" s="10"/>
      <c r="F17" s="12" t="s">
        <v>7</v>
      </c>
      <c r="G17" s="13">
        <v>0</v>
      </c>
      <c r="H17" s="14"/>
      <c r="I17" s="10"/>
      <c r="J17" s="12" t="s">
        <v>7</v>
      </c>
      <c r="K17" s="13">
        <v>0</v>
      </c>
      <c r="L17" s="14"/>
      <c r="M17" s="10"/>
      <c r="N17" s="12" t="s">
        <v>7</v>
      </c>
      <c r="O17" s="13">
        <v>0</v>
      </c>
      <c r="P17" s="14"/>
      <c r="Q17" s="10"/>
      <c r="R17" s="12" t="s">
        <v>7</v>
      </c>
      <c r="S17" s="13">
        <v>0</v>
      </c>
      <c r="T17" s="14"/>
      <c r="U17" s="10"/>
      <c r="V17" s="12" t="s">
        <v>7</v>
      </c>
      <c r="W17" s="13">
        <v>0</v>
      </c>
      <c r="X17" s="14"/>
      <c r="Y17" s="10"/>
      <c r="Z17" s="12" t="s">
        <v>7</v>
      </c>
      <c r="AA17" s="58">
        <v>57000</v>
      </c>
      <c r="AB17" s="14"/>
      <c r="AC17" s="10"/>
      <c r="AD17" s="12" t="s">
        <v>7</v>
      </c>
      <c r="AE17" s="13">
        <v>0</v>
      </c>
      <c r="AF17" s="14"/>
      <c r="AG17" s="10"/>
      <c r="AH17" s="12" t="s">
        <v>7</v>
      </c>
      <c r="AI17" s="54">
        <v>75000</v>
      </c>
      <c r="AJ17" s="14"/>
      <c r="AK17" s="10"/>
      <c r="AL17" s="12" t="s">
        <v>7</v>
      </c>
      <c r="AM17" s="13">
        <v>0</v>
      </c>
      <c r="AN17" s="14"/>
      <c r="AO17" s="10"/>
      <c r="AP17" s="12" t="s">
        <v>7</v>
      </c>
      <c r="AQ17" s="13">
        <v>0</v>
      </c>
      <c r="AR17" s="14"/>
      <c r="AS17" s="10"/>
      <c r="AT17" s="12" t="s">
        <v>7</v>
      </c>
      <c r="AU17" s="13">
        <v>0</v>
      </c>
      <c r="AV17" s="14"/>
      <c r="AW17" s="10"/>
      <c r="AX17" s="12" t="s">
        <v>7</v>
      </c>
      <c r="AY17" s="13">
        <v>0</v>
      </c>
      <c r="AZ17" s="14"/>
      <c r="BA17" s="51"/>
    </row>
    <row r="18" spans="1:53" ht="15" customHeight="1">
      <c r="A18" s="11"/>
      <c r="B18" s="12" t="s">
        <v>6</v>
      </c>
      <c r="C18" s="15">
        <v>0</v>
      </c>
      <c r="D18" s="14"/>
      <c r="E18" s="10"/>
      <c r="F18" s="12" t="s">
        <v>6</v>
      </c>
      <c r="G18" s="15">
        <v>0</v>
      </c>
      <c r="H18" s="14"/>
      <c r="I18" s="10"/>
      <c r="J18" s="12" t="s">
        <v>6</v>
      </c>
      <c r="K18" s="15">
        <v>0</v>
      </c>
      <c r="L18" s="14"/>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15">
        <v>0</v>
      </c>
      <c r="AJ18" s="14"/>
      <c r="AK18" s="10"/>
      <c r="AL18" s="12" t="s">
        <v>6</v>
      </c>
      <c r="AM18" s="15">
        <v>0</v>
      </c>
      <c r="AN18" s="14"/>
      <c r="AO18" s="10"/>
      <c r="AP18" s="12" t="s">
        <v>6</v>
      </c>
      <c r="AQ18" s="15">
        <v>0</v>
      </c>
      <c r="AR18" s="14"/>
      <c r="AS18" s="10"/>
      <c r="AT18" s="12" t="s">
        <v>6</v>
      </c>
      <c r="AU18" s="15">
        <v>0</v>
      </c>
      <c r="AV18" s="14"/>
      <c r="AW18" s="10"/>
      <c r="AX18" s="12" t="s">
        <v>6</v>
      </c>
      <c r="AY18" s="15">
        <v>0</v>
      </c>
      <c r="AZ18" s="14"/>
      <c r="BA18" s="51"/>
    </row>
    <row r="19" spans="1:53" ht="15" customHeight="1">
      <c r="A19" s="11"/>
      <c r="B19" s="12" t="s">
        <v>5</v>
      </c>
      <c r="C19" s="13" t="s">
        <v>4</v>
      </c>
      <c r="D19" s="14"/>
      <c r="E19" s="10"/>
      <c r="F19" s="12" t="s">
        <v>5</v>
      </c>
      <c r="G19" s="13" t="s">
        <v>4</v>
      </c>
      <c r="H19" s="14"/>
      <c r="I19" s="10"/>
      <c r="J19" s="12" t="s">
        <v>5</v>
      </c>
      <c r="K19" s="13" t="s">
        <v>4</v>
      </c>
      <c r="L19" s="14"/>
      <c r="M19" s="10"/>
      <c r="N19" s="12" t="s">
        <v>5</v>
      </c>
      <c r="O19" s="13" t="s">
        <v>4</v>
      </c>
      <c r="P19" s="14"/>
      <c r="Q19" s="10"/>
      <c r="R19" s="12" t="s">
        <v>5</v>
      </c>
      <c r="S19" s="13" t="s">
        <v>4</v>
      </c>
      <c r="T19" s="14"/>
      <c r="U19" s="10"/>
      <c r="V19" s="12" t="s">
        <v>5</v>
      </c>
      <c r="W19" s="13" t="s">
        <v>4</v>
      </c>
      <c r="X19" s="14"/>
      <c r="Y19" s="10"/>
      <c r="Z19" s="12" t="s">
        <v>5</v>
      </c>
      <c r="AA19" s="58" t="s">
        <v>265</v>
      </c>
      <c r="AB19" s="14"/>
      <c r="AC19" s="10"/>
      <c r="AD19" s="12" t="s">
        <v>5</v>
      </c>
      <c r="AE19" s="13" t="s">
        <v>4</v>
      </c>
      <c r="AF19" s="14"/>
      <c r="AG19" s="10"/>
      <c r="AH19" s="12" t="s">
        <v>5</v>
      </c>
      <c r="AI19" s="54" t="s">
        <v>251</v>
      </c>
      <c r="AJ19" s="14"/>
      <c r="AK19" s="10"/>
      <c r="AL19" s="12" t="s">
        <v>5</v>
      </c>
      <c r="AM19" s="13" t="s">
        <v>4</v>
      </c>
      <c r="AN19" s="14"/>
      <c r="AO19" s="10"/>
      <c r="AP19" s="12" t="s">
        <v>5</v>
      </c>
      <c r="AQ19" s="13" t="s">
        <v>4</v>
      </c>
      <c r="AR19" s="14"/>
      <c r="AS19" s="10"/>
      <c r="AT19" s="12" t="s">
        <v>5</v>
      </c>
      <c r="AU19" s="13" t="s">
        <v>4</v>
      </c>
      <c r="AV19" s="14"/>
      <c r="AW19" s="10"/>
      <c r="AX19" s="12" t="s">
        <v>5</v>
      </c>
      <c r="AY19" s="13" t="s">
        <v>4</v>
      </c>
      <c r="AZ19" s="14"/>
      <c r="BA19" s="51"/>
    </row>
    <row r="20" spans="1:53" ht="15" customHeight="1">
      <c r="A20" s="11"/>
      <c r="B20" s="12" t="s">
        <v>11</v>
      </c>
      <c r="C20" s="15" t="s">
        <v>13</v>
      </c>
      <c r="D20" s="43">
        <v>0</v>
      </c>
      <c r="E20" s="9"/>
      <c r="F20" s="12" t="s">
        <v>11</v>
      </c>
      <c r="G20" s="15" t="s">
        <v>13</v>
      </c>
      <c r="H20" s="14">
        <v>0</v>
      </c>
      <c r="I20" s="10"/>
      <c r="J20" s="12" t="s">
        <v>11</v>
      </c>
      <c r="K20" s="15" t="s">
        <v>13</v>
      </c>
      <c r="L20" s="14">
        <v>0</v>
      </c>
      <c r="M20" s="10"/>
      <c r="N20" s="12" t="s">
        <v>11</v>
      </c>
      <c r="O20" s="15" t="s">
        <v>13</v>
      </c>
      <c r="P20" s="14">
        <v>0</v>
      </c>
      <c r="Q20" s="10"/>
      <c r="R20" s="12" t="s">
        <v>11</v>
      </c>
      <c r="S20" s="15" t="s">
        <v>13</v>
      </c>
      <c r="T20" s="14">
        <v>0</v>
      </c>
      <c r="U20" s="10"/>
      <c r="V20" s="12" t="s">
        <v>11</v>
      </c>
      <c r="W20" s="15" t="s">
        <v>13</v>
      </c>
      <c r="X20" s="14">
        <v>0</v>
      </c>
      <c r="Y20" s="10"/>
      <c r="Z20" s="12" t="s">
        <v>11</v>
      </c>
      <c r="AA20" s="59" t="s">
        <v>131</v>
      </c>
      <c r="AB20" s="60">
        <v>5000</v>
      </c>
      <c r="AC20" s="10"/>
      <c r="AD20" s="12" t="s">
        <v>11</v>
      </c>
      <c r="AE20" s="15" t="s">
        <v>13</v>
      </c>
      <c r="AF20" s="14">
        <v>0</v>
      </c>
      <c r="AG20" s="10"/>
      <c r="AH20" s="12" t="s">
        <v>11</v>
      </c>
      <c r="AI20" s="54" t="s">
        <v>131</v>
      </c>
      <c r="AJ20" s="55">
        <v>2000</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s="51"/>
    </row>
    <row r="21" spans="1:53" ht="15" customHeight="1">
      <c r="A21" s="11"/>
      <c r="B21" s="12" t="s">
        <v>12</v>
      </c>
      <c r="C21" s="15" t="s">
        <v>13</v>
      </c>
      <c r="D21" s="14">
        <v>0</v>
      </c>
      <c r="E21" s="9"/>
      <c r="F21" s="12" t="s">
        <v>12</v>
      </c>
      <c r="G21" s="15" t="s">
        <v>13</v>
      </c>
      <c r="H21" s="14">
        <v>0</v>
      </c>
      <c r="I21" s="10"/>
      <c r="J21" s="12" t="s">
        <v>12</v>
      </c>
      <c r="K21" s="15" t="s">
        <v>13</v>
      </c>
      <c r="L21" s="14">
        <v>0</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15" t="s">
        <v>13</v>
      </c>
      <c r="AJ21" s="55">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s="51"/>
    </row>
    <row r="22" spans="1:53" ht="15" customHeight="1">
      <c r="A22" s="11"/>
      <c r="B22" s="12" t="s">
        <v>14</v>
      </c>
      <c r="C22" s="15" t="s">
        <v>13</v>
      </c>
      <c r="D22" s="14">
        <v>0</v>
      </c>
      <c r="E22" s="9"/>
      <c r="F22" s="12" t="s">
        <v>14</v>
      </c>
      <c r="G22" s="15" t="s">
        <v>13</v>
      </c>
      <c r="H22" s="14">
        <v>0</v>
      </c>
      <c r="I22" s="10"/>
      <c r="J22" s="12" t="s">
        <v>14</v>
      </c>
      <c r="K22" s="15" t="s">
        <v>13</v>
      </c>
      <c r="L22" s="14">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15" t="s">
        <v>13</v>
      </c>
      <c r="AJ22" s="14">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s="51"/>
    </row>
    <row r="23" spans="1:53" s="20" customFormat="1" ht="5.0999999999999996" customHeight="1">
      <c r="A23" s="17"/>
      <c r="B23" s="18"/>
      <c r="C23" s="18"/>
      <c r="D23" s="18"/>
      <c r="E23" s="19"/>
      <c r="F23" s="18"/>
      <c r="G23" s="18"/>
      <c r="H23" s="18"/>
      <c r="I23" s="19"/>
      <c r="J23" s="18"/>
      <c r="K23" s="56"/>
      <c r="L23" s="56"/>
      <c r="M23" s="19"/>
      <c r="N23" s="18"/>
      <c r="O23" s="18"/>
      <c r="P23" s="18"/>
      <c r="Q23" s="19"/>
      <c r="R23" s="18"/>
      <c r="S23" s="18"/>
      <c r="T23" s="18"/>
      <c r="U23" s="19"/>
      <c r="V23" s="18"/>
      <c r="W23" s="18"/>
      <c r="X23" s="18"/>
      <c r="Y23" s="19"/>
      <c r="Z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s="51"/>
    </row>
    <row r="24" spans="1:53" ht="15" customHeight="1">
      <c r="A24" s="11"/>
      <c r="B24" s="12" t="s">
        <v>7</v>
      </c>
      <c r="C24" s="13">
        <v>0</v>
      </c>
      <c r="D24" s="14"/>
      <c r="E24" s="10"/>
      <c r="F24" s="12" t="s">
        <v>7</v>
      </c>
      <c r="G24" s="13">
        <v>0</v>
      </c>
      <c r="H24" s="14"/>
      <c r="I24" s="10"/>
      <c r="J24" s="12" t="s">
        <v>7</v>
      </c>
      <c r="K24" s="13">
        <v>0</v>
      </c>
      <c r="L24" s="14"/>
      <c r="M24" s="10"/>
      <c r="N24" s="12" t="s">
        <v>7</v>
      </c>
      <c r="O24" s="13">
        <v>0</v>
      </c>
      <c r="P24" s="14"/>
      <c r="Q24" s="10"/>
      <c r="R24" s="12" t="s">
        <v>7</v>
      </c>
      <c r="S24" s="13">
        <v>0</v>
      </c>
      <c r="T24" s="14"/>
      <c r="U24" s="10"/>
      <c r="V24" s="12" t="s">
        <v>7</v>
      </c>
      <c r="W24" s="13">
        <v>0</v>
      </c>
      <c r="X24" s="14"/>
      <c r="Y24" s="10"/>
      <c r="Z24" s="12" t="s">
        <v>7</v>
      </c>
      <c r="AA24" s="44">
        <v>50000</v>
      </c>
      <c r="AB24" s="43"/>
      <c r="AC24" s="10"/>
      <c r="AD24" s="12" t="s">
        <v>7</v>
      </c>
      <c r="AE24" s="13">
        <v>0</v>
      </c>
      <c r="AF24" s="14"/>
      <c r="AG24" s="10"/>
      <c r="AH24" s="12" t="s">
        <v>7</v>
      </c>
      <c r="AI24" s="54">
        <v>72000</v>
      </c>
      <c r="AJ24" s="14"/>
      <c r="AK24" s="10"/>
      <c r="AL24" s="12" t="s">
        <v>7</v>
      </c>
      <c r="AM24" s="13">
        <v>0</v>
      </c>
      <c r="AN24" s="14"/>
      <c r="AO24" s="10"/>
      <c r="AP24" s="12" t="s">
        <v>7</v>
      </c>
      <c r="AQ24" s="13">
        <v>0</v>
      </c>
      <c r="AR24" s="14"/>
      <c r="AS24" s="10"/>
      <c r="AT24" s="12" t="s">
        <v>7</v>
      </c>
      <c r="AU24" s="13">
        <v>0</v>
      </c>
      <c r="AV24" s="14"/>
      <c r="AW24" s="10"/>
      <c r="AX24" s="12" t="s">
        <v>7</v>
      </c>
      <c r="AY24" s="13">
        <v>0</v>
      </c>
      <c r="AZ24" s="14"/>
      <c r="BA24" s="51"/>
    </row>
    <row r="25" spans="1:53" ht="15" customHeight="1">
      <c r="A25" s="11"/>
      <c r="B25" s="12" t="s">
        <v>6</v>
      </c>
      <c r="C25" s="15">
        <v>0</v>
      </c>
      <c r="D25" s="14"/>
      <c r="E25" s="10"/>
      <c r="F25" s="12" t="s">
        <v>6</v>
      </c>
      <c r="G25" s="15">
        <v>0</v>
      </c>
      <c r="H25" s="14"/>
      <c r="I25" s="10"/>
      <c r="J25" s="12" t="s">
        <v>6</v>
      </c>
      <c r="K25" s="15">
        <v>0</v>
      </c>
      <c r="L25" s="14"/>
      <c r="M25" s="10"/>
      <c r="N25" s="12" t="s">
        <v>6</v>
      </c>
      <c r="O25" s="15">
        <v>0</v>
      </c>
      <c r="P25" s="14"/>
      <c r="Q25" s="10"/>
      <c r="R25" s="12" t="s">
        <v>6</v>
      </c>
      <c r="S25" s="15">
        <v>0</v>
      </c>
      <c r="T25" s="14"/>
      <c r="U25" s="10"/>
      <c r="V25" s="12" t="s">
        <v>6</v>
      </c>
      <c r="W25" s="15">
        <v>0</v>
      </c>
      <c r="X25" s="14"/>
      <c r="Y25" s="10"/>
      <c r="Z25" s="12" t="s">
        <v>6</v>
      </c>
      <c r="AA25" s="44">
        <v>0</v>
      </c>
      <c r="AB25" s="43"/>
      <c r="AC25" s="10"/>
      <c r="AD25" s="12" t="s">
        <v>6</v>
      </c>
      <c r="AE25" s="15">
        <v>0</v>
      </c>
      <c r="AF25" s="14"/>
      <c r="AG25" s="10"/>
      <c r="AH25" s="12" t="s">
        <v>6</v>
      </c>
      <c r="AI25" s="15">
        <v>0</v>
      </c>
      <c r="AJ25" s="14"/>
      <c r="AK25" s="10"/>
      <c r="AL25" s="12" t="s">
        <v>6</v>
      </c>
      <c r="AM25" s="15">
        <v>0</v>
      </c>
      <c r="AN25" s="14"/>
      <c r="AO25" s="10"/>
      <c r="AP25" s="12" t="s">
        <v>6</v>
      </c>
      <c r="AQ25" s="15">
        <v>0</v>
      </c>
      <c r="AR25" s="14"/>
      <c r="AS25" s="10"/>
      <c r="AT25" s="12" t="s">
        <v>6</v>
      </c>
      <c r="AU25" s="15">
        <v>0</v>
      </c>
      <c r="AV25" s="14"/>
      <c r="AW25" s="10"/>
      <c r="AX25" s="12" t="s">
        <v>6</v>
      </c>
      <c r="AY25" s="15">
        <v>0</v>
      </c>
      <c r="AZ25" s="14"/>
      <c r="BA25" s="51"/>
    </row>
    <row r="26" spans="1:53" ht="15" customHeight="1">
      <c r="A26" s="11"/>
      <c r="B26" s="12" t="s">
        <v>5</v>
      </c>
      <c r="C26" s="13" t="s">
        <v>4</v>
      </c>
      <c r="D26" s="14"/>
      <c r="E26" s="10"/>
      <c r="F26" s="12" t="s">
        <v>5</v>
      </c>
      <c r="G26" s="13" t="s">
        <v>4</v>
      </c>
      <c r="H26" s="14"/>
      <c r="I26" s="10"/>
      <c r="J26" s="12" t="s">
        <v>5</v>
      </c>
      <c r="K26" s="13" t="s">
        <v>4</v>
      </c>
      <c r="L26" s="14"/>
      <c r="M26" s="10"/>
      <c r="N26" s="12" t="s">
        <v>5</v>
      </c>
      <c r="O26" s="13" t="s">
        <v>4</v>
      </c>
      <c r="P26" s="14"/>
      <c r="Q26" s="10"/>
      <c r="R26" s="12" t="s">
        <v>5</v>
      </c>
      <c r="S26" s="13" t="s">
        <v>4</v>
      </c>
      <c r="T26" s="14"/>
      <c r="U26" s="10"/>
      <c r="V26" s="12" t="s">
        <v>5</v>
      </c>
      <c r="W26" s="13" t="s">
        <v>4</v>
      </c>
      <c r="X26" s="14"/>
      <c r="Y26" s="10"/>
      <c r="Z26" s="12" t="s">
        <v>5</v>
      </c>
      <c r="AA26" s="44" t="s">
        <v>113</v>
      </c>
      <c r="AB26" s="43"/>
      <c r="AC26" s="10"/>
      <c r="AD26" s="12" t="s">
        <v>5</v>
      </c>
      <c r="AE26" s="13" t="s">
        <v>4</v>
      </c>
      <c r="AF26" s="14"/>
      <c r="AG26" s="10"/>
      <c r="AH26" s="12" t="s">
        <v>5</v>
      </c>
      <c r="AI26" s="54" t="s">
        <v>257</v>
      </c>
      <c r="AJ26" s="14"/>
      <c r="AK26" s="10"/>
      <c r="AL26" s="12" t="s">
        <v>5</v>
      </c>
      <c r="AM26" s="13" t="s">
        <v>4</v>
      </c>
      <c r="AN26" s="14"/>
      <c r="AO26" s="10"/>
      <c r="AP26" s="12" t="s">
        <v>5</v>
      </c>
      <c r="AQ26" s="13" t="s">
        <v>4</v>
      </c>
      <c r="AR26" s="14"/>
      <c r="AS26" s="10"/>
      <c r="AT26" s="12" t="s">
        <v>5</v>
      </c>
      <c r="AU26" s="13" t="s">
        <v>4</v>
      </c>
      <c r="AV26" s="14"/>
      <c r="AW26" s="10"/>
      <c r="AX26" s="12" t="s">
        <v>5</v>
      </c>
      <c r="AY26" s="13" t="s">
        <v>4</v>
      </c>
      <c r="AZ26" s="14"/>
      <c r="BA26" s="51"/>
    </row>
    <row r="27" spans="1:53" ht="15" customHeight="1">
      <c r="A27" s="11"/>
      <c r="B27" s="12" t="s">
        <v>11</v>
      </c>
      <c r="C27" s="15" t="s">
        <v>13</v>
      </c>
      <c r="D27" s="43">
        <v>0</v>
      </c>
      <c r="E27" s="9"/>
      <c r="F27" s="12" t="s">
        <v>11</v>
      </c>
      <c r="G27" s="15" t="s">
        <v>13</v>
      </c>
      <c r="H27" s="14">
        <v>0</v>
      </c>
      <c r="I27" s="10"/>
      <c r="J27" s="12" t="s">
        <v>11</v>
      </c>
      <c r="K27" s="15" t="s">
        <v>13</v>
      </c>
      <c r="L27" s="14">
        <v>0</v>
      </c>
      <c r="M27" s="10"/>
      <c r="N27" s="12" t="s">
        <v>11</v>
      </c>
      <c r="O27" s="15" t="s">
        <v>13</v>
      </c>
      <c r="P27" s="14">
        <v>0</v>
      </c>
      <c r="Q27" s="10"/>
      <c r="R27" s="12" t="s">
        <v>11</v>
      </c>
      <c r="S27" s="15" t="s">
        <v>13</v>
      </c>
      <c r="T27" s="14">
        <v>0</v>
      </c>
      <c r="U27" s="10"/>
      <c r="V27" s="12" t="s">
        <v>11</v>
      </c>
      <c r="W27" s="15" t="s">
        <v>13</v>
      </c>
      <c r="X27" s="14">
        <v>0</v>
      </c>
      <c r="Y27" s="10"/>
      <c r="Z27" s="12" t="s">
        <v>11</v>
      </c>
      <c r="AA27" s="44" t="s">
        <v>131</v>
      </c>
      <c r="AB27" s="43">
        <v>1999</v>
      </c>
      <c r="AC27" s="10"/>
      <c r="AD27" s="12" t="s">
        <v>11</v>
      </c>
      <c r="AE27" s="15" t="s">
        <v>13</v>
      </c>
      <c r="AF27" s="14">
        <v>0</v>
      </c>
      <c r="AG27" s="10"/>
      <c r="AH27" s="12" t="s">
        <v>11</v>
      </c>
      <c r="AI27" s="54" t="s">
        <v>131</v>
      </c>
      <c r="AJ27" s="55">
        <v>2000</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s="51"/>
    </row>
    <row r="28" spans="1:53" ht="15" customHeight="1">
      <c r="A28" s="11"/>
      <c r="B28" s="12" t="s">
        <v>12</v>
      </c>
      <c r="C28" s="15" t="s">
        <v>13</v>
      </c>
      <c r="D28" s="14">
        <v>0</v>
      </c>
      <c r="E28" s="9"/>
      <c r="F28" s="12" t="s">
        <v>12</v>
      </c>
      <c r="G28" s="15" t="s">
        <v>13</v>
      </c>
      <c r="H28" s="16">
        <v>0</v>
      </c>
      <c r="I28" s="10"/>
      <c r="J28" s="12" t="s">
        <v>12</v>
      </c>
      <c r="K28" s="15" t="s">
        <v>13</v>
      </c>
      <c r="L28" s="14">
        <v>0</v>
      </c>
      <c r="M28" s="10"/>
      <c r="N28" s="12" t="s">
        <v>12</v>
      </c>
      <c r="O28" s="15" t="s">
        <v>13</v>
      </c>
      <c r="P28" s="16">
        <v>0</v>
      </c>
      <c r="Q28" s="10"/>
      <c r="R28" s="12" t="s">
        <v>12</v>
      </c>
      <c r="S28" s="15" t="s">
        <v>13</v>
      </c>
      <c r="T28" s="16">
        <v>0</v>
      </c>
      <c r="U28" s="10"/>
      <c r="V28" s="12" t="s">
        <v>12</v>
      </c>
      <c r="W28" s="15" t="s">
        <v>13</v>
      </c>
      <c r="X28" s="16">
        <v>0</v>
      </c>
      <c r="Y28" s="10"/>
      <c r="Z28" s="12" t="s">
        <v>12</v>
      </c>
      <c r="AA28" s="15" t="s">
        <v>13</v>
      </c>
      <c r="AB28" s="14">
        <v>0</v>
      </c>
      <c r="AC28" s="10"/>
      <c r="AD28" s="12" t="s">
        <v>12</v>
      </c>
      <c r="AE28" s="15" t="s">
        <v>13</v>
      </c>
      <c r="AF28" s="16">
        <v>0</v>
      </c>
      <c r="AG28" s="10"/>
      <c r="AH28" s="12" t="s">
        <v>12</v>
      </c>
      <c r="AI28" s="44" t="s">
        <v>268</v>
      </c>
      <c r="AJ28" s="43">
        <v>5000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s="51"/>
    </row>
    <row r="29" spans="1:53" ht="15" customHeight="1">
      <c r="A29" s="11"/>
      <c r="B29" s="12" t="s">
        <v>14</v>
      </c>
      <c r="C29" s="15" t="s">
        <v>13</v>
      </c>
      <c r="D29" s="14">
        <v>0</v>
      </c>
      <c r="E29" s="9"/>
      <c r="F29" s="12" t="s">
        <v>14</v>
      </c>
      <c r="G29" s="15" t="s">
        <v>13</v>
      </c>
      <c r="H29" s="14">
        <v>0</v>
      </c>
      <c r="I29" s="10"/>
      <c r="J29" s="12" t="s">
        <v>14</v>
      </c>
      <c r="K29" s="15" t="s">
        <v>13</v>
      </c>
      <c r="L29" s="14">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15" t="s">
        <v>13</v>
      </c>
      <c r="AJ29" s="14">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s="51"/>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s="51"/>
    </row>
    <row r="31" spans="1:53" ht="15" customHeight="1">
      <c r="A31" s="11"/>
      <c r="B31" s="12" t="s">
        <v>7</v>
      </c>
      <c r="C31" s="13">
        <v>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44">
        <v>49000</v>
      </c>
      <c r="AB31" s="43"/>
      <c r="AC31" s="10"/>
      <c r="AD31" s="12" t="s">
        <v>7</v>
      </c>
      <c r="AE31" s="13">
        <v>0</v>
      </c>
      <c r="AF31" s="14"/>
      <c r="AG31" s="10"/>
      <c r="AH31" s="12" t="s">
        <v>7</v>
      </c>
      <c r="AI31" s="44">
        <v>69000</v>
      </c>
      <c r="AJ31" s="14"/>
      <c r="AK31" s="10"/>
      <c r="AL31" s="12" t="s">
        <v>7</v>
      </c>
      <c r="AM31" s="13">
        <v>0</v>
      </c>
      <c r="AN31" s="14"/>
      <c r="AO31" s="10"/>
      <c r="AP31" s="12" t="s">
        <v>7</v>
      </c>
      <c r="AQ31" s="13">
        <v>0</v>
      </c>
      <c r="AR31" s="14"/>
      <c r="AS31" s="10"/>
      <c r="AT31" s="12" t="s">
        <v>7</v>
      </c>
      <c r="AU31" s="13">
        <v>0</v>
      </c>
      <c r="AV31" s="14"/>
      <c r="AW31" s="10"/>
      <c r="AX31" s="12" t="s">
        <v>7</v>
      </c>
      <c r="AY31" s="13">
        <v>0</v>
      </c>
      <c r="AZ31" s="14"/>
      <c r="BA31" s="5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44">
        <v>0</v>
      </c>
      <c r="AB32" s="43"/>
      <c r="AC32" s="10"/>
      <c r="AD32" s="12" t="s">
        <v>6</v>
      </c>
      <c r="AE32" s="15">
        <v>0</v>
      </c>
      <c r="AF32" s="14"/>
      <c r="AG32" s="10"/>
      <c r="AH32" s="12" t="s">
        <v>6</v>
      </c>
      <c r="AI32" s="15">
        <v>0</v>
      </c>
      <c r="AJ32" s="14"/>
      <c r="AK32" s="10"/>
      <c r="AL32" s="12" t="s">
        <v>6</v>
      </c>
      <c r="AM32" s="15">
        <v>0</v>
      </c>
      <c r="AN32" s="14"/>
      <c r="AO32" s="10"/>
      <c r="AP32" s="12" t="s">
        <v>6</v>
      </c>
      <c r="AQ32" s="15">
        <v>0</v>
      </c>
      <c r="AR32" s="14"/>
      <c r="AS32" s="10"/>
      <c r="AT32" s="12" t="s">
        <v>6</v>
      </c>
      <c r="AU32" s="15">
        <v>0</v>
      </c>
      <c r="AV32" s="14"/>
      <c r="AW32" s="10"/>
      <c r="AX32" s="12" t="s">
        <v>6</v>
      </c>
      <c r="AY32" s="15">
        <v>0</v>
      </c>
      <c r="AZ32" s="14"/>
      <c r="BA32" s="51"/>
    </row>
    <row r="33" spans="1:53" ht="15" customHeight="1">
      <c r="A33" s="11"/>
      <c r="B33" s="12" t="s">
        <v>5</v>
      </c>
      <c r="C33" s="13" t="s">
        <v>4</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44" t="s">
        <v>112</v>
      </c>
      <c r="AB33" s="43"/>
      <c r="AC33" s="10"/>
      <c r="AD33" s="12" t="s">
        <v>5</v>
      </c>
      <c r="AE33" s="13" t="s">
        <v>4</v>
      </c>
      <c r="AF33" s="14"/>
      <c r="AG33" s="10"/>
      <c r="AH33" s="12" t="s">
        <v>5</v>
      </c>
      <c r="AI33" s="54" t="s">
        <v>266</v>
      </c>
      <c r="AJ33" s="14"/>
      <c r="AK33" s="10"/>
      <c r="AL33" s="12" t="s">
        <v>5</v>
      </c>
      <c r="AM33" s="13" t="s">
        <v>4</v>
      </c>
      <c r="AN33" s="14"/>
      <c r="AO33" s="10"/>
      <c r="AP33" s="12" t="s">
        <v>5</v>
      </c>
      <c r="AQ33" s="13" t="s">
        <v>4</v>
      </c>
      <c r="AR33" s="14"/>
      <c r="AS33" s="10"/>
      <c r="AT33" s="12" t="s">
        <v>5</v>
      </c>
      <c r="AU33" s="13" t="s">
        <v>4</v>
      </c>
      <c r="AV33" s="14"/>
      <c r="AW33" s="10"/>
      <c r="AX33" s="12" t="s">
        <v>5</v>
      </c>
      <c r="AY33" s="13" t="s">
        <v>4</v>
      </c>
      <c r="AZ33" s="14"/>
      <c r="BA33" s="51"/>
    </row>
    <row r="34" spans="1:53" ht="15" customHeight="1">
      <c r="A34" s="11"/>
      <c r="B34" s="12" t="s">
        <v>11</v>
      </c>
      <c r="C34" s="15" t="s">
        <v>13</v>
      </c>
      <c r="D34" s="43">
        <v>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44" t="s">
        <v>131</v>
      </c>
      <c r="AB34" s="43">
        <v>1999</v>
      </c>
      <c r="AC34" s="10"/>
      <c r="AD34" s="12" t="s">
        <v>11</v>
      </c>
      <c r="AE34" s="15" t="s">
        <v>13</v>
      </c>
      <c r="AF34" s="14">
        <v>0</v>
      </c>
      <c r="AG34" s="10"/>
      <c r="AH34" s="12" t="s">
        <v>11</v>
      </c>
      <c r="AI34" s="54" t="s">
        <v>131</v>
      </c>
      <c r="AJ34" s="43">
        <v>2000</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s="51"/>
    </row>
    <row r="35" spans="1:53" ht="15" customHeight="1">
      <c r="A35" s="11"/>
      <c r="B35" s="12" t="s">
        <v>12</v>
      </c>
      <c r="C35" s="15" t="s">
        <v>13</v>
      </c>
      <c r="D35" s="43">
        <v>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4">
        <v>0</v>
      </c>
      <c r="AC35" s="10"/>
      <c r="AD35" s="12" t="s">
        <v>12</v>
      </c>
      <c r="AE35" s="15" t="s">
        <v>13</v>
      </c>
      <c r="AF35" s="16">
        <v>0</v>
      </c>
      <c r="AG35" s="10"/>
      <c r="AH35" s="12" t="s">
        <v>12</v>
      </c>
      <c r="AI35" s="15" t="s">
        <v>13</v>
      </c>
      <c r="AJ35" s="16">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s="51"/>
    </row>
    <row r="36" spans="1:53" ht="15" customHeight="1">
      <c r="A36" s="11"/>
      <c r="B36" s="12" t="s">
        <v>14</v>
      </c>
      <c r="C36" s="15" t="s">
        <v>13</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s="51"/>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s="51"/>
    </row>
    <row r="38" spans="1:53" ht="15" customHeight="1">
      <c r="A38" s="11"/>
      <c r="B38" s="12" t="s">
        <v>7</v>
      </c>
      <c r="C38" s="44">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44">
        <v>48000</v>
      </c>
      <c r="AB38" s="43"/>
      <c r="AC38" s="10"/>
      <c r="AD38" s="12" t="s">
        <v>7</v>
      </c>
      <c r="AE38" s="13">
        <v>0</v>
      </c>
      <c r="AF38" s="14"/>
      <c r="AG38" s="10"/>
      <c r="AH38" s="12" t="s">
        <v>7</v>
      </c>
      <c r="AI38" s="44">
        <v>67000</v>
      </c>
      <c r="AJ38" s="14"/>
      <c r="AK38" s="10"/>
      <c r="AL38" s="12" t="s">
        <v>7</v>
      </c>
      <c r="AM38" s="13">
        <v>0</v>
      </c>
      <c r="AN38" s="14"/>
      <c r="AO38" s="10"/>
      <c r="AP38" s="12" t="s">
        <v>7</v>
      </c>
      <c r="AQ38" s="13">
        <v>0</v>
      </c>
      <c r="AR38" s="14"/>
      <c r="AS38" s="10"/>
      <c r="AT38" s="12" t="s">
        <v>7</v>
      </c>
      <c r="AU38" s="13">
        <v>0</v>
      </c>
      <c r="AV38" s="14"/>
      <c r="AW38" s="10"/>
      <c r="AX38" s="12" t="s">
        <v>7</v>
      </c>
      <c r="AY38" s="13">
        <v>0</v>
      </c>
      <c r="AZ38" s="14"/>
      <c r="BA38" s="51"/>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44">
        <v>0</v>
      </c>
      <c r="AB39" s="43"/>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s="51"/>
    </row>
    <row r="40" spans="1:53"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44" t="s">
        <v>33</v>
      </c>
      <c r="AB40" s="43"/>
      <c r="AC40" s="10"/>
      <c r="AD40" s="12" t="s">
        <v>5</v>
      </c>
      <c r="AE40" s="13" t="s">
        <v>4</v>
      </c>
      <c r="AF40" s="14"/>
      <c r="AG40" s="10"/>
      <c r="AH40" s="12" t="s">
        <v>5</v>
      </c>
      <c r="AI40" s="54" t="s">
        <v>267</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s="51"/>
    </row>
    <row r="41" spans="1:53" ht="15" customHeight="1">
      <c r="A41" s="11"/>
      <c r="B41" s="12" t="s">
        <v>11</v>
      </c>
      <c r="C41" s="15" t="s">
        <v>13</v>
      </c>
      <c r="D41" s="43">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44" t="s">
        <v>131</v>
      </c>
      <c r="AB41" s="43">
        <v>1999</v>
      </c>
      <c r="AC41" s="10"/>
      <c r="AD41" s="12" t="s">
        <v>11</v>
      </c>
      <c r="AE41" s="15" t="s">
        <v>13</v>
      </c>
      <c r="AF41" s="14">
        <v>0</v>
      </c>
      <c r="AG41" s="10"/>
      <c r="AH41" s="12" t="s">
        <v>11</v>
      </c>
      <c r="AI41" s="54" t="s">
        <v>131</v>
      </c>
      <c r="AJ41" s="55">
        <v>2000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s="51"/>
    </row>
    <row r="42" spans="1:53" ht="15" customHeight="1">
      <c r="A42" s="11"/>
      <c r="B42" s="12" t="s">
        <v>12</v>
      </c>
      <c r="C42" s="15" t="s">
        <v>13</v>
      </c>
      <c r="D42" s="43">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4">
        <v>0</v>
      </c>
      <c r="AC42" s="10"/>
      <c r="AD42" s="12" t="s">
        <v>12</v>
      </c>
      <c r="AE42" s="15" t="s">
        <v>13</v>
      </c>
      <c r="AF42" s="16">
        <v>0</v>
      </c>
      <c r="AG42" s="10"/>
      <c r="AH42" s="12" t="s">
        <v>12</v>
      </c>
      <c r="AI42" s="15" t="s">
        <v>13</v>
      </c>
      <c r="AJ42" s="16">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s="51"/>
    </row>
    <row r="43" spans="1:53" ht="15" customHeight="1">
      <c r="A43" s="11"/>
      <c r="B43" s="12" t="s">
        <v>14</v>
      </c>
      <c r="C43" s="15" t="s">
        <v>13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s="51"/>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s="51"/>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44">
        <v>65000</v>
      </c>
      <c r="AJ45" s="14"/>
      <c r="AK45" s="10"/>
      <c r="AL45" s="12" t="s">
        <v>7</v>
      </c>
      <c r="AM45" s="13">
        <v>0</v>
      </c>
      <c r="AN45" s="14"/>
      <c r="AO45" s="10"/>
      <c r="AP45" s="12" t="s">
        <v>7</v>
      </c>
      <c r="AQ45" s="13">
        <v>0</v>
      </c>
      <c r="AR45" s="14"/>
      <c r="AS45" s="10"/>
      <c r="AT45" s="12" t="s">
        <v>7</v>
      </c>
      <c r="AU45" s="13">
        <v>0</v>
      </c>
      <c r="AV45" s="14"/>
      <c r="AW45" s="10"/>
      <c r="AX45" s="12" t="s">
        <v>7</v>
      </c>
      <c r="AY45" s="13">
        <v>0</v>
      </c>
      <c r="AZ45" s="14"/>
      <c r="BA45" s="51"/>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s="51"/>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54" t="s">
        <v>269</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s="51"/>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54" t="s">
        <v>131</v>
      </c>
      <c r="AJ48" s="43">
        <v>2000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s="51"/>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6">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s="51"/>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s="51"/>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s="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13">
        <v>0</v>
      </c>
      <c r="AJ52" s="14"/>
      <c r="AK52" s="10"/>
      <c r="AL52" s="12" t="s">
        <v>7</v>
      </c>
      <c r="AM52" s="13">
        <v>0</v>
      </c>
      <c r="AN52" s="14"/>
      <c r="AO52" s="10"/>
      <c r="AP52" s="12" t="s">
        <v>7</v>
      </c>
      <c r="AQ52" s="13">
        <v>0</v>
      </c>
      <c r="AR52" s="14"/>
      <c r="AS52" s="10"/>
      <c r="AT52" s="12" t="s">
        <v>7</v>
      </c>
      <c r="AU52" s="13">
        <v>0</v>
      </c>
      <c r="AV52" s="14"/>
      <c r="AW52" s="10"/>
      <c r="AX52" s="12" t="s">
        <v>7</v>
      </c>
      <c r="AY52" s="13">
        <v>0</v>
      </c>
      <c r="AZ52" s="14"/>
      <c r="BA52" s="51"/>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s="51"/>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13" t="s">
        <v>4</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s="51"/>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15" t="s">
        <v>13</v>
      </c>
      <c r="AJ55" s="14">
        <v>0</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s="51"/>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s="51"/>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s="51"/>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s="51"/>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s="51"/>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s="51"/>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s="5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s="51"/>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s="51"/>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s="51"/>
    </row>
    <row r="65" spans="1:53"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s="51"/>
    </row>
    <row r="66" spans="1:53"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s="51"/>
    </row>
    <row r="67" spans="1:53"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s="51"/>
    </row>
    <row r="68" spans="1:53"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s="51"/>
    </row>
    <row r="69" spans="1:53"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s="51"/>
    </row>
    <row r="70" spans="1:53"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s="51"/>
    </row>
    <row r="71" spans="1:53"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s="51"/>
    </row>
    <row r="72" spans="1:53"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s="51"/>
    </row>
    <row r="73" spans="1:53" ht="15" customHeight="1">
      <c r="A73" s="11"/>
      <c r="B73" s="22" t="s">
        <v>8</v>
      </c>
      <c r="C73" s="23">
        <v>200</v>
      </c>
      <c r="D73" s="24"/>
      <c r="E73" s="25"/>
      <c r="F73" s="22" t="s">
        <v>8</v>
      </c>
      <c r="G73" s="23">
        <v>1000</v>
      </c>
      <c r="H73" s="24"/>
      <c r="I73" s="25"/>
      <c r="J73" s="22" t="s">
        <v>8</v>
      </c>
      <c r="K73" s="23">
        <v>1000</v>
      </c>
      <c r="L73" s="24"/>
      <c r="M73" s="25"/>
      <c r="N73" s="22" t="s">
        <v>8</v>
      </c>
      <c r="O73" s="23">
        <v>2000</v>
      </c>
      <c r="P73" s="24"/>
      <c r="Q73" s="25"/>
      <c r="R73" s="22" t="s">
        <v>8</v>
      </c>
      <c r="S73" s="23">
        <v>0</v>
      </c>
      <c r="T73" s="24"/>
      <c r="U73" s="25"/>
      <c r="V73" s="22" t="s">
        <v>8</v>
      </c>
      <c r="W73" s="23">
        <v>5000</v>
      </c>
      <c r="X73" s="24"/>
      <c r="Y73" s="25"/>
      <c r="Z73" s="22" t="s">
        <v>8</v>
      </c>
      <c r="AA73" s="23">
        <v>1000</v>
      </c>
      <c r="AB73" s="24"/>
      <c r="AC73" s="25"/>
      <c r="AD73" s="22" t="s">
        <v>8</v>
      </c>
      <c r="AE73" s="23">
        <v>1000</v>
      </c>
      <c r="AF73" s="24"/>
      <c r="AG73" s="25"/>
      <c r="AH73" s="22" t="s">
        <v>8</v>
      </c>
      <c r="AI73" s="23">
        <v>1000</v>
      </c>
      <c r="AJ73" s="24"/>
      <c r="AK73" s="25"/>
      <c r="AL73" s="22" t="s">
        <v>8</v>
      </c>
      <c r="AM73" s="23">
        <v>0</v>
      </c>
      <c r="AN73" s="24"/>
      <c r="AO73" s="25"/>
      <c r="AP73" s="22" t="s">
        <v>8</v>
      </c>
      <c r="AQ73" s="23">
        <v>0</v>
      </c>
      <c r="AR73" s="24"/>
      <c r="AS73" s="25"/>
      <c r="AT73" s="22" t="s">
        <v>8</v>
      </c>
      <c r="AU73" s="23">
        <v>0</v>
      </c>
      <c r="AV73" s="24"/>
      <c r="AW73" s="25"/>
      <c r="AX73" s="22" t="s">
        <v>8</v>
      </c>
      <c r="AY73" s="23">
        <v>0</v>
      </c>
      <c r="AZ73" s="24"/>
      <c r="BA73" s="51"/>
    </row>
    <row r="74" spans="1:53"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1</v>
      </c>
      <c r="X74" s="28"/>
      <c r="Y74" s="25"/>
      <c r="Z74" s="26" t="s">
        <v>10</v>
      </c>
      <c r="AA74" s="45">
        <v>1</v>
      </c>
      <c r="AB74" s="28"/>
      <c r="AC74" s="25"/>
      <c r="AD74" s="26" t="s">
        <v>10</v>
      </c>
      <c r="AE74" s="27">
        <v>1</v>
      </c>
      <c r="AF74" s="28"/>
      <c r="AG74" s="25"/>
      <c r="AH74" s="26" t="s">
        <v>10</v>
      </c>
      <c r="AI74" s="45">
        <v>1</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s="51"/>
    </row>
    <row r="75" spans="1:53" s="32" customFormat="1" ht="15.7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22</v>
      </c>
      <c r="AN75" s="28"/>
      <c r="AO75" s="31"/>
      <c r="AP75" s="26" t="s">
        <v>18</v>
      </c>
      <c r="AQ75" s="27" t="s">
        <v>22</v>
      </c>
      <c r="AR75" s="28"/>
      <c r="AS75" s="31"/>
      <c r="AT75" s="26" t="s">
        <v>18</v>
      </c>
      <c r="AU75" s="27" t="s">
        <v>22</v>
      </c>
      <c r="AV75" s="28"/>
      <c r="AW75" s="31"/>
      <c r="AX75" s="26" t="s">
        <v>18</v>
      </c>
      <c r="AY75" s="27" t="s">
        <v>22</v>
      </c>
      <c r="AZ75" s="28"/>
      <c r="BA75" s="51"/>
    </row>
    <row r="76" spans="1:53" s="7" customFormat="1" ht="15.75">
      <c r="A76" s="51"/>
      <c r="B76" s="51"/>
      <c r="C76" s="51"/>
      <c r="D76" s="51"/>
      <c r="E76" s="51"/>
      <c r="F76" s="51"/>
      <c r="G76" s="51"/>
      <c r="H76" s="51"/>
      <c r="I76" s="5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row>
    <row r="77" spans="1:53" s="7" customFormat="1" ht="15.75">
      <c r="A77" s="51"/>
      <c r="B77" s="35" t="s">
        <v>119</v>
      </c>
      <c r="C77" s="36" t="s">
        <v>68</v>
      </c>
      <c r="D77" s="4" t="s">
        <v>36</v>
      </c>
      <c r="E77" s="51"/>
      <c r="F77" s="35" t="s">
        <v>119</v>
      </c>
      <c r="G77" s="36" t="s">
        <v>132</v>
      </c>
      <c r="H77" s="4" t="s">
        <v>36</v>
      </c>
      <c r="I77" s="51"/>
      <c r="J77" s="35" t="s">
        <v>5</v>
      </c>
      <c r="K77" s="47" t="s">
        <v>33</v>
      </c>
      <c r="L77" s="48" t="s">
        <v>36</v>
      </c>
      <c r="M77" s="51"/>
      <c r="N77" s="35" t="s">
        <v>5</v>
      </c>
      <c r="O77" s="36" t="s">
        <v>19</v>
      </c>
      <c r="P77" s="4" t="s">
        <v>37</v>
      </c>
      <c r="Q77" s="51"/>
      <c r="R77" s="35" t="s">
        <v>5</v>
      </c>
      <c r="S77" s="36" t="s">
        <v>51</v>
      </c>
      <c r="T77" s="4" t="s">
        <v>36</v>
      </c>
      <c r="U77" s="51"/>
      <c r="V77" s="35" t="s">
        <v>5</v>
      </c>
      <c r="W77" s="36" t="s">
        <v>52</v>
      </c>
      <c r="X77" s="48" t="s">
        <v>37</v>
      </c>
      <c r="Y77" s="51"/>
      <c r="Z77" s="35" t="s">
        <v>5</v>
      </c>
      <c r="AA77" s="36" t="s">
        <v>53</v>
      </c>
      <c r="AB77" s="48" t="s">
        <v>37</v>
      </c>
      <c r="AC77" s="51"/>
      <c r="AD77" s="35" t="s">
        <v>5</v>
      </c>
      <c r="AE77" s="36" t="s">
        <v>143</v>
      </c>
      <c r="AF77" s="4" t="s">
        <v>37</v>
      </c>
      <c r="AG77" s="51"/>
      <c r="AH77" s="35" t="s">
        <v>5</v>
      </c>
      <c r="AI77" s="36" t="s">
        <v>144</v>
      </c>
      <c r="AJ77" s="4" t="s">
        <v>36</v>
      </c>
      <c r="AK77" s="51"/>
      <c r="AL77" s="35" t="s">
        <v>5</v>
      </c>
      <c r="AM77" s="36" t="s">
        <v>145</v>
      </c>
      <c r="AN77" s="4" t="s">
        <v>37</v>
      </c>
      <c r="AO77" s="51"/>
      <c r="AP77" s="35" t="s">
        <v>5</v>
      </c>
      <c r="AQ77" s="36" t="s">
        <v>145</v>
      </c>
      <c r="AR77" s="4" t="s">
        <v>37</v>
      </c>
      <c r="AS77" s="51"/>
      <c r="AT77" s="35" t="s">
        <v>5</v>
      </c>
      <c r="AU77" s="36" t="s">
        <v>145</v>
      </c>
      <c r="AV77" s="4" t="s">
        <v>37</v>
      </c>
      <c r="AW77" s="51"/>
      <c r="AX77" s="35" t="s">
        <v>5</v>
      </c>
      <c r="AY77" s="47" t="s">
        <v>193</v>
      </c>
      <c r="AZ77" s="48" t="s">
        <v>36</v>
      </c>
      <c r="BA77" s="51"/>
    </row>
    <row r="78" spans="1:53" s="7" customFormat="1" ht="15.75">
      <c r="A78" s="51"/>
      <c r="B78" s="35" t="s">
        <v>38</v>
      </c>
      <c r="C78" s="36" t="s">
        <v>126</v>
      </c>
      <c r="D78" s="38" t="s">
        <v>120</v>
      </c>
      <c r="E78" s="51"/>
      <c r="F78" s="35" t="s">
        <v>38</v>
      </c>
      <c r="G78" s="36" t="s">
        <v>126</v>
      </c>
      <c r="H78" s="38" t="s">
        <v>120</v>
      </c>
      <c r="I78" s="51"/>
      <c r="J78" s="35" t="s">
        <v>38</v>
      </c>
      <c r="K78" s="47" t="s">
        <v>42</v>
      </c>
      <c r="L78" s="47">
        <v>0</v>
      </c>
      <c r="M78" s="51"/>
      <c r="N78" s="35" t="s">
        <v>38</v>
      </c>
      <c r="O78" s="36" t="s">
        <v>43</v>
      </c>
      <c r="P78" s="38">
        <v>15</v>
      </c>
      <c r="Q78" s="51"/>
      <c r="R78" s="35" t="s">
        <v>38</v>
      </c>
      <c r="S78" s="36" t="s">
        <v>62</v>
      </c>
      <c r="T78" s="38" t="s">
        <v>63</v>
      </c>
      <c r="U78" s="51"/>
      <c r="V78" s="35" t="s">
        <v>38</v>
      </c>
      <c r="W78" s="36" t="s">
        <v>62</v>
      </c>
      <c r="X78" s="38" t="s">
        <v>64</v>
      </c>
      <c r="Y78" s="51"/>
      <c r="Z78" s="35" t="s">
        <v>38</v>
      </c>
      <c r="AA78" s="36" t="s">
        <v>62</v>
      </c>
      <c r="AB78" s="38" t="s">
        <v>65</v>
      </c>
      <c r="AC78" s="51"/>
      <c r="AD78" s="35" t="s">
        <v>38</v>
      </c>
      <c r="AE78" s="36" t="s">
        <v>43</v>
      </c>
      <c r="AF78" s="38" t="s">
        <v>146</v>
      </c>
      <c r="AG78" s="51"/>
      <c r="AH78" s="35" t="s">
        <v>38</v>
      </c>
      <c r="AI78" s="36" t="s">
        <v>42</v>
      </c>
      <c r="AJ78" s="36">
        <v>0</v>
      </c>
      <c r="AK78" s="51"/>
      <c r="AL78" s="35" t="s">
        <v>38</v>
      </c>
      <c r="AM78" s="36" t="s">
        <v>147</v>
      </c>
      <c r="AN78" s="36">
        <v>1</v>
      </c>
      <c r="AO78" s="51"/>
      <c r="AP78" s="35" t="s">
        <v>38</v>
      </c>
      <c r="AQ78" s="36" t="s">
        <v>147</v>
      </c>
      <c r="AR78" s="36">
        <v>2</v>
      </c>
      <c r="AS78" s="51"/>
      <c r="AT78" s="35" t="s">
        <v>38</v>
      </c>
      <c r="AU78" s="36" t="s">
        <v>147</v>
      </c>
      <c r="AV78" s="36">
        <v>3</v>
      </c>
      <c r="AW78" s="51"/>
      <c r="AX78" s="35" t="s">
        <v>38</v>
      </c>
      <c r="AY78" s="47" t="s">
        <v>194</v>
      </c>
      <c r="AZ78" s="49" t="s">
        <v>65</v>
      </c>
      <c r="BA78" s="51"/>
    </row>
    <row r="79" spans="1:53" s="7" customFormat="1" ht="15.75">
      <c r="A79" s="51"/>
      <c r="B79" s="35" t="s">
        <v>38</v>
      </c>
      <c r="C79" s="36" t="s">
        <v>125</v>
      </c>
      <c r="D79" s="38" t="s">
        <v>134</v>
      </c>
      <c r="E79" s="51"/>
      <c r="F79" s="35" t="s">
        <v>38</v>
      </c>
      <c r="G79" s="36" t="s">
        <v>125</v>
      </c>
      <c r="H79" s="38" t="s">
        <v>134</v>
      </c>
      <c r="I79" s="51"/>
      <c r="J79" s="35" t="s">
        <v>38</v>
      </c>
      <c r="K79" s="47" t="s">
        <v>39</v>
      </c>
      <c r="L79" s="47">
        <v>2000</v>
      </c>
      <c r="M79" s="51"/>
      <c r="N79" s="35" t="s">
        <v>38</v>
      </c>
      <c r="O79" s="36" t="s">
        <v>44</v>
      </c>
      <c r="P79" s="38" t="s">
        <v>45</v>
      </c>
      <c r="Q79" s="51"/>
      <c r="R79" s="35" t="s">
        <v>38</v>
      </c>
      <c r="S79" s="36" t="s">
        <v>54</v>
      </c>
      <c r="T79" s="49" t="s">
        <v>235</v>
      </c>
      <c r="U79" s="51"/>
      <c r="V79" s="35" t="s">
        <v>38</v>
      </c>
      <c r="W79" s="36" t="s">
        <v>54</v>
      </c>
      <c r="X79" s="38" t="s">
        <v>115</v>
      </c>
      <c r="Y79" s="51"/>
      <c r="Z79" s="35" t="s">
        <v>38</v>
      </c>
      <c r="AA79" s="36" t="s">
        <v>54</v>
      </c>
      <c r="AB79" s="38" t="s">
        <v>118</v>
      </c>
      <c r="AC79" s="51"/>
      <c r="AD79" s="35" t="s">
        <v>38</v>
      </c>
      <c r="AE79" s="36" t="s">
        <v>148</v>
      </c>
      <c r="AF79" s="38" t="s">
        <v>64</v>
      </c>
      <c r="AG79" s="51"/>
      <c r="AH79" s="35" t="s">
        <v>38</v>
      </c>
      <c r="AI79" s="36" t="s">
        <v>149</v>
      </c>
      <c r="AJ79" s="47">
        <v>400</v>
      </c>
      <c r="AK79" s="51"/>
      <c r="AL79" s="35" t="s">
        <v>38</v>
      </c>
      <c r="AM79" s="36" t="s">
        <v>150</v>
      </c>
      <c r="AN79" s="36">
        <v>1200</v>
      </c>
      <c r="AO79" s="51"/>
      <c r="AP79" s="35" t="s">
        <v>38</v>
      </c>
      <c r="AQ79" s="36" t="s">
        <v>150</v>
      </c>
      <c r="AR79" s="36">
        <v>600</v>
      </c>
      <c r="AS79" s="51"/>
      <c r="AT79" s="35" t="s">
        <v>38</v>
      </c>
      <c r="AU79" s="36" t="s">
        <v>150</v>
      </c>
      <c r="AV79" s="36">
        <v>300</v>
      </c>
      <c r="AW79" s="51"/>
      <c r="AX79" s="35" t="s">
        <v>38</v>
      </c>
      <c r="AY79" s="47" t="s">
        <v>195</v>
      </c>
      <c r="AZ79" s="49" t="s">
        <v>196</v>
      </c>
      <c r="BA79" s="51"/>
    </row>
    <row r="80" spans="1:53" s="7" customFormat="1" ht="15.75">
      <c r="A80" s="51"/>
      <c r="B80" s="35" t="s">
        <v>38</v>
      </c>
      <c r="C80" s="36" t="s">
        <v>126</v>
      </c>
      <c r="D80" s="38" t="s">
        <v>121</v>
      </c>
      <c r="E80" s="51"/>
      <c r="F80" s="35" t="s">
        <v>38</v>
      </c>
      <c r="G80" s="36" t="s">
        <v>126</v>
      </c>
      <c r="H80" s="38" t="s">
        <v>121</v>
      </c>
      <c r="I80" s="51"/>
      <c r="J80" s="35" t="s">
        <v>38</v>
      </c>
      <c r="K80" s="47" t="s">
        <v>40</v>
      </c>
      <c r="L80" s="47">
        <v>1000</v>
      </c>
      <c r="M80" s="51"/>
      <c r="N80" s="35" t="s">
        <v>38</v>
      </c>
      <c r="O80" s="36" t="s">
        <v>46</v>
      </c>
      <c r="P80" s="38" t="s">
        <v>47</v>
      </c>
      <c r="Q80" s="51"/>
      <c r="R80" s="35" t="s">
        <v>38</v>
      </c>
      <c r="S80" s="36" t="s">
        <v>67</v>
      </c>
      <c r="T80" s="38" t="s">
        <v>260</v>
      </c>
      <c r="U80" s="51"/>
      <c r="V80" s="35" t="s">
        <v>38</v>
      </c>
      <c r="W80" s="36" t="s">
        <v>67</v>
      </c>
      <c r="X80" s="38" t="s">
        <v>117</v>
      </c>
      <c r="Y80" s="51"/>
      <c r="Z80" s="35" t="s">
        <v>38</v>
      </c>
      <c r="AA80" s="36" t="s">
        <v>67</v>
      </c>
      <c r="AB80" s="38" t="s">
        <v>117</v>
      </c>
      <c r="AC80" s="51"/>
      <c r="AD80" s="35" t="s">
        <v>38</v>
      </c>
      <c r="AE80" s="36" t="s">
        <v>46</v>
      </c>
      <c r="AF80" s="38" t="s">
        <v>142</v>
      </c>
      <c r="AG80" s="51"/>
      <c r="AH80" s="35" t="s">
        <v>38</v>
      </c>
      <c r="AI80" s="36" t="s">
        <v>151</v>
      </c>
      <c r="AJ80" s="47">
        <v>100</v>
      </c>
      <c r="AK80" s="51"/>
      <c r="AL80" s="35" t="s">
        <v>38</v>
      </c>
      <c r="AM80" s="36" t="s">
        <v>152</v>
      </c>
      <c r="AN80" s="36">
        <v>300</v>
      </c>
      <c r="AO80" s="51"/>
      <c r="AP80" s="35" t="s">
        <v>38</v>
      </c>
      <c r="AQ80" s="36" t="s">
        <v>152</v>
      </c>
      <c r="AR80" s="36">
        <v>300</v>
      </c>
      <c r="AS80" s="51"/>
      <c r="AT80" s="35" t="s">
        <v>38</v>
      </c>
      <c r="AU80" s="36" t="s">
        <v>152</v>
      </c>
      <c r="AV80" s="36">
        <v>300</v>
      </c>
      <c r="AW80" s="51"/>
      <c r="AX80" s="35" t="s">
        <v>38</v>
      </c>
      <c r="AY80" s="47" t="s">
        <v>197</v>
      </c>
      <c r="AZ80" s="49" t="s">
        <v>245</v>
      </c>
      <c r="BA80" s="51"/>
    </row>
    <row r="81" spans="1:53" s="7" customFormat="1" ht="15.75">
      <c r="A81" s="51"/>
      <c r="B81" s="35" t="s">
        <v>38</v>
      </c>
      <c r="C81" s="36" t="s">
        <v>125</v>
      </c>
      <c r="D81" s="38" t="s">
        <v>122</v>
      </c>
      <c r="E81" s="51"/>
      <c r="F81" s="35" t="s">
        <v>38</v>
      </c>
      <c r="G81" s="36" t="s">
        <v>125</v>
      </c>
      <c r="H81" s="38" t="s">
        <v>122</v>
      </c>
      <c r="I81" s="51"/>
      <c r="J81" s="35" t="s">
        <v>38</v>
      </c>
      <c r="K81" s="47" t="s">
        <v>41</v>
      </c>
      <c r="L81" s="47">
        <v>500</v>
      </c>
      <c r="M81" s="51"/>
      <c r="N81" s="35" t="s">
        <v>38</v>
      </c>
      <c r="O81" s="36" t="s">
        <v>48</v>
      </c>
      <c r="P81" s="38" t="s">
        <v>49</v>
      </c>
      <c r="Q81" s="51"/>
      <c r="R81" s="35" t="s">
        <v>38</v>
      </c>
      <c r="S81" s="36" t="s">
        <v>66</v>
      </c>
      <c r="T81" s="38" t="s">
        <v>259</v>
      </c>
      <c r="U81" s="51"/>
      <c r="V81" s="35" t="s">
        <v>38</v>
      </c>
      <c r="W81" s="36" t="s">
        <v>66</v>
      </c>
      <c r="X81" s="38" t="s">
        <v>142</v>
      </c>
      <c r="Y81" s="51"/>
      <c r="Z81" s="35" t="s">
        <v>38</v>
      </c>
      <c r="AA81" s="36" t="s">
        <v>66</v>
      </c>
      <c r="AB81" s="38" t="s">
        <v>142</v>
      </c>
      <c r="AC81" s="51"/>
      <c r="AD81" s="35" t="s">
        <v>38</v>
      </c>
      <c r="AE81" s="36" t="s">
        <v>153</v>
      </c>
      <c r="AF81" s="38" t="s">
        <v>64</v>
      </c>
      <c r="AG81" s="51"/>
      <c r="AH81" s="35" t="s">
        <v>38</v>
      </c>
      <c r="AI81" s="36" t="s">
        <v>154</v>
      </c>
      <c r="AJ81" s="47">
        <v>100</v>
      </c>
      <c r="AK81" s="51"/>
      <c r="AL81" s="51"/>
      <c r="AM81" s="51"/>
      <c r="AN81" s="51"/>
      <c r="AO81" s="51"/>
      <c r="AP81" s="51"/>
      <c r="AQ81" s="51"/>
      <c r="AR81" s="51"/>
      <c r="AS81" s="51"/>
      <c r="AT81" s="51"/>
      <c r="AU81" s="51"/>
      <c r="AV81" s="51"/>
      <c r="AW81" s="51"/>
      <c r="AX81" s="35" t="s">
        <v>38</v>
      </c>
      <c r="AY81" s="47" t="s">
        <v>198</v>
      </c>
      <c r="AZ81" s="49" t="s">
        <v>247</v>
      </c>
      <c r="BA81" s="51"/>
    </row>
    <row r="82" spans="1:53" s="7" customFormat="1" ht="15.75">
      <c r="A82" s="51"/>
      <c r="B82" s="35" t="s">
        <v>38</v>
      </c>
      <c r="C82" s="36" t="s">
        <v>126</v>
      </c>
      <c r="D82" s="38" t="s">
        <v>123</v>
      </c>
      <c r="E82" s="51"/>
      <c r="F82" s="35" t="s">
        <v>38</v>
      </c>
      <c r="G82" s="36" t="s">
        <v>126</v>
      </c>
      <c r="H82" s="38" t="s">
        <v>123</v>
      </c>
      <c r="I82" s="51"/>
      <c r="J82" s="51"/>
      <c r="K82" s="51"/>
      <c r="L82" s="51"/>
      <c r="M82" s="51"/>
      <c r="N82" s="35" t="s">
        <v>38</v>
      </c>
      <c r="O82" s="36" t="s">
        <v>50</v>
      </c>
      <c r="P82" s="38" t="s">
        <v>47</v>
      </c>
      <c r="Q82" s="51"/>
      <c r="R82" s="35" t="s">
        <v>38</v>
      </c>
      <c r="S82" s="36" t="s">
        <v>57</v>
      </c>
      <c r="T82" s="38" t="s">
        <v>227</v>
      </c>
      <c r="U82" s="51"/>
      <c r="V82" s="35" t="s">
        <v>38</v>
      </c>
      <c r="W82" s="36" t="s">
        <v>57</v>
      </c>
      <c r="X82" s="38" t="s">
        <v>58</v>
      </c>
      <c r="Y82" s="51"/>
      <c r="Z82" s="35" t="s">
        <v>38</v>
      </c>
      <c r="AA82" s="36" t="s">
        <v>57</v>
      </c>
      <c r="AB82" s="38" t="s">
        <v>58</v>
      </c>
      <c r="AC82" s="51"/>
      <c r="AD82" s="35" t="s">
        <v>38</v>
      </c>
      <c r="AE82" s="36" t="s">
        <v>50</v>
      </c>
      <c r="AF82" s="38" t="s">
        <v>136</v>
      </c>
      <c r="AG82" s="51"/>
      <c r="AH82" s="35" t="s">
        <v>38</v>
      </c>
      <c r="AI82" s="36" t="s">
        <v>155</v>
      </c>
      <c r="AJ82" s="47">
        <v>200</v>
      </c>
      <c r="AK82" s="51"/>
      <c r="AL82" s="51"/>
      <c r="AM82" s="51"/>
      <c r="AN82" s="51"/>
      <c r="AO82" s="51"/>
      <c r="AP82" s="51"/>
      <c r="AQ82" s="51"/>
      <c r="AR82" s="51"/>
      <c r="AS82" s="51"/>
      <c r="AT82" s="51"/>
      <c r="AU82" s="51"/>
      <c r="AV82" s="51"/>
      <c r="AW82" s="51"/>
      <c r="AX82" s="35" t="s">
        <v>38</v>
      </c>
      <c r="AY82" s="47" t="s">
        <v>237</v>
      </c>
      <c r="AZ82" s="49" t="s">
        <v>244</v>
      </c>
      <c r="BA82" s="51"/>
    </row>
    <row r="83" spans="1:53" s="7" customFormat="1" ht="15.75">
      <c r="A83" s="51"/>
      <c r="B83" s="35" t="s">
        <v>38</v>
      </c>
      <c r="C83" s="36" t="s">
        <v>125</v>
      </c>
      <c r="D83" s="38" t="s">
        <v>135</v>
      </c>
      <c r="E83" s="51"/>
      <c r="F83" s="35" t="s">
        <v>38</v>
      </c>
      <c r="G83" s="36" t="s">
        <v>125</v>
      </c>
      <c r="H83" s="38" t="s">
        <v>135</v>
      </c>
      <c r="I83" s="51"/>
      <c r="J83" s="51"/>
      <c r="K83" s="51"/>
      <c r="L83" s="51"/>
      <c r="M83" s="51"/>
      <c r="N83" s="51"/>
      <c r="O83" s="51"/>
      <c r="P83" s="51"/>
      <c r="Q83" s="51"/>
      <c r="R83" s="35" t="s">
        <v>38</v>
      </c>
      <c r="S83" s="36" t="s">
        <v>55</v>
      </c>
      <c r="T83" s="49" t="s">
        <v>246</v>
      </c>
      <c r="U83" s="51"/>
      <c r="V83" s="35" t="s">
        <v>38</v>
      </c>
      <c r="W83" s="36" t="s">
        <v>55</v>
      </c>
      <c r="X83" s="38" t="s">
        <v>239</v>
      </c>
      <c r="Y83" s="51"/>
      <c r="Z83" s="35" t="s">
        <v>38</v>
      </c>
      <c r="AA83" s="36" t="s">
        <v>55</v>
      </c>
      <c r="AB83" s="38" t="s">
        <v>239</v>
      </c>
      <c r="AC83" s="51"/>
      <c r="AD83" s="35" t="s">
        <v>38</v>
      </c>
      <c r="AE83" s="36" t="s">
        <v>156</v>
      </c>
      <c r="AF83" s="38" t="s">
        <v>64</v>
      </c>
      <c r="AG83" s="51"/>
      <c r="AH83" s="35" t="s">
        <v>38</v>
      </c>
      <c r="AI83" s="36" t="s">
        <v>157</v>
      </c>
      <c r="AJ83" s="47">
        <v>100</v>
      </c>
      <c r="AK83" s="51"/>
      <c r="AL83" s="51"/>
      <c r="AM83" s="51"/>
      <c r="AN83" s="51"/>
      <c r="AO83" s="51"/>
      <c r="AP83" s="51"/>
      <c r="AQ83" s="51"/>
      <c r="AR83" s="51"/>
      <c r="AS83" s="51"/>
      <c r="AT83" s="51"/>
      <c r="AU83" s="51"/>
      <c r="AV83" s="51"/>
      <c r="AW83" s="51"/>
      <c r="AX83" s="35" t="s">
        <v>38</v>
      </c>
      <c r="AY83" s="47" t="s">
        <v>199</v>
      </c>
      <c r="AZ83" s="49" t="s">
        <v>240</v>
      </c>
      <c r="BA83" s="51"/>
    </row>
    <row r="84" spans="1:53" s="7" customFormat="1" ht="15.75">
      <c r="A84" s="51"/>
      <c r="B84" s="35" t="s">
        <v>38</v>
      </c>
      <c r="C84" s="36" t="s">
        <v>126</v>
      </c>
      <c r="D84" s="38" t="s">
        <v>124</v>
      </c>
      <c r="E84" s="51"/>
      <c r="F84" s="35" t="s">
        <v>38</v>
      </c>
      <c r="G84" s="36" t="s">
        <v>126</v>
      </c>
      <c r="H84" s="38" t="s">
        <v>124</v>
      </c>
      <c r="I84" s="51"/>
      <c r="J84" s="51"/>
      <c r="K84" s="51"/>
      <c r="L84" s="51"/>
      <c r="M84" s="51"/>
      <c r="N84" s="51"/>
      <c r="O84" s="51"/>
      <c r="P84" s="51"/>
      <c r="Q84" s="51"/>
      <c r="R84" s="35" t="s">
        <v>38</v>
      </c>
      <c r="S84" s="36" t="s">
        <v>56</v>
      </c>
      <c r="T84" s="49" t="s">
        <v>137</v>
      </c>
      <c r="U84" s="51"/>
      <c r="V84" s="35" t="s">
        <v>38</v>
      </c>
      <c r="W84" s="36" t="s">
        <v>56</v>
      </c>
      <c r="X84" s="38" t="s">
        <v>241</v>
      </c>
      <c r="Y84" s="51"/>
      <c r="Z84" s="35" t="s">
        <v>38</v>
      </c>
      <c r="AA84" s="36" t="s">
        <v>56</v>
      </c>
      <c r="AB84" s="38" t="s">
        <v>241</v>
      </c>
      <c r="AC84" s="51"/>
      <c r="AD84" s="35" t="s">
        <v>38</v>
      </c>
      <c r="AE84" s="36" t="s">
        <v>158</v>
      </c>
      <c r="AF84" s="38" t="s">
        <v>159</v>
      </c>
      <c r="AG84" s="51"/>
      <c r="AH84" s="35" t="s">
        <v>38</v>
      </c>
      <c r="AI84" s="36" t="s">
        <v>160</v>
      </c>
      <c r="AJ84" s="47">
        <v>800</v>
      </c>
      <c r="AK84" s="51"/>
      <c r="AL84" s="51"/>
      <c r="AM84" s="51"/>
      <c r="AN84" s="51"/>
      <c r="AO84" s="51"/>
      <c r="AP84" s="51"/>
      <c r="AQ84" s="51"/>
      <c r="AR84" s="51"/>
      <c r="AS84" s="51"/>
      <c r="AT84" s="51"/>
      <c r="AU84" s="51"/>
      <c r="AV84" s="51"/>
      <c r="AW84" s="51"/>
      <c r="AX84" s="35" t="s">
        <v>38</v>
      </c>
      <c r="AY84" s="47" t="s">
        <v>200</v>
      </c>
      <c r="AZ84" s="49" t="s">
        <v>264</v>
      </c>
      <c r="BA84" s="51"/>
    </row>
    <row r="85" spans="1:53" s="7" customFormat="1" ht="15.75">
      <c r="A85" s="51"/>
      <c r="B85" s="35" t="s">
        <v>38</v>
      </c>
      <c r="C85" s="36" t="s">
        <v>125</v>
      </c>
      <c r="D85" s="38" t="s">
        <v>136</v>
      </c>
      <c r="E85" s="51"/>
      <c r="F85" s="35" t="s">
        <v>38</v>
      </c>
      <c r="G85" s="36" t="s">
        <v>125</v>
      </c>
      <c r="H85" s="38" t="s">
        <v>136</v>
      </c>
      <c r="I85" s="51"/>
      <c r="J85" s="51"/>
      <c r="K85" s="51"/>
      <c r="L85" s="51"/>
      <c r="M85" s="51"/>
      <c r="N85" s="51"/>
      <c r="O85" s="51"/>
      <c r="P85" s="51"/>
      <c r="Q85" s="51"/>
      <c r="R85" s="35" t="s">
        <v>38</v>
      </c>
      <c r="S85" s="36" t="s">
        <v>59</v>
      </c>
      <c r="T85" s="49" t="s">
        <v>243</v>
      </c>
      <c r="U85" s="51"/>
      <c r="V85" s="35" t="s">
        <v>38</v>
      </c>
      <c r="W85" s="36" t="s">
        <v>59</v>
      </c>
      <c r="X85" s="38" t="s">
        <v>141</v>
      </c>
      <c r="Y85" s="51"/>
      <c r="Z85" s="35" t="s">
        <v>38</v>
      </c>
      <c r="AA85" s="36" t="s">
        <v>59</v>
      </c>
      <c r="AB85" s="38" t="s">
        <v>141</v>
      </c>
      <c r="AC85" s="51"/>
      <c r="AD85" s="51"/>
      <c r="AE85" s="51"/>
      <c r="AF85" s="51"/>
      <c r="AG85" s="51"/>
      <c r="AH85" s="35" t="s">
        <v>38</v>
      </c>
      <c r="AI85" s="36" t="s">
        <v>255</v>
      </c>
      <c r="AJ85" s="47">
        <v>100</v>
      </c>
      <c r="AK85" s="51"/>
      <c r="AL85" s="51"/>
      <c r="AM85" s="51"/>
      <c r="AN85" s="51"/>
      <c r="AO85" s="51"/>
      <c r="AP85" s="51"/>
      <c r="AQ85" s="51"/>
      <c r="AR85" s="51"/>
      <c r="AS85" s="51"/>
      <c r="AT85" s="51"/>
      <c r="AU85" s="51"/>
      <c r="AV85" s="51"/>
      <c r="AW85" s="51"/>
      <c r="AX85" s="35" t="s">
        <v>38</v>
      </c>
      <c r="AY85" s="47" t="s">
        <v>201</v>
      </c>
      <c r="AZ85" s="52">
        <f>ROUND(AZ80+AZ86*AZ82/1000, 0)</f>
        <v>212483</v>
      </c>
      <c r="BA85" s="51"/>
    </row>
    <row r="86" spans="1:53" s="7" customFormat="1" ht="15.75">
      <c r="A86" s="51"/>
      <c r="B86" s="41" t="s">
        <v>38</v>
      </c>
      <c r="C86" s="42" t="s">
        <v>127</v>
      </c>
      <c r="D86" s="38" t="s">
        <v>63</v>
      </c>
      <c r="E86" s="51"/>
      <c r="F86" s="41" t="s">
        <v>38</v>
      </c>
      <c r="G86" s="42" t="s">
        <v>127</v>
      </c>
      <c r="H86" s="38" t="s">
        <v>64</v>
      </c>
      <c r="I86" s="51"/>
      <c r="J86" s="51"/>
      <c r="K86" s="51"/>
      <c r="L86" s="51"/>
      <c r="M86" s="51"/>
      <c r="N86" s="51"/>
      <c r="O86" s="51"/>
      <c r="P86" s="51"/>
      <c r="Q86" s="51"/>
      <c r="R86" s="35" t="s">
        <v>38</v>
      </c>
      <c r="S86" s="36" t="s">
        <v>60</v>
      </c>
      <c r="T86" s="49" t="s">
        <v>241</v>
      </c>
      <c r="U86" s="51"/>
      <c r="V86" s="35" t="s">
        <v>38</v>
      </c>
      <c r="W86" s="36" t="s">
        <v>60</v>
      </c>
      <c r="X86" s="38" t="s">
        <v>138</v>
      </c>
      <c r="Y86" s="51"/>
      <c r="Z86" s="35" t="s">
        <v>38</v>
      </c>
      <c r="AA86" s="36" t="s">
        <v>60</v>
      </c>
      <c r="AB86" s="38" t="s">
        <v>138</v>
      </c>
      <c r="AC86" s="51"/>
      <c r="AD86" s="51"/>
      <c r="AE86" s="51"/>
      <c r="AF86" s="51"/>
      <c r="AG86" s="51"/>
      <c r="AH86" s="35" t="s">
        <v>38</v>
      </c>
      <c r="AI86" s="36" t="s">
        <v>256</v>
      </c>
      <c r="AJ86" s="47">
        <v>25500</v>
      </c>
      <c r="AK86" s="51"/>
      <c r="AL86" s="51"/>
      <c r="AM86" s="51"/>
      <c r="AN86" s="51"/>
      <c r="AO86" s="51"/>
      <c r="AP86" s="51"/>
      <c r="AQ86" s="51"/>
      <c r="AR86" s="51"/>
      <c r="AS86" s="51"/>
      <c r="AT86" s="51"/>
      <c r="AU86" s="51"/>
      <c r="AV86" s="51"/>
      <c r="AW86" s="51"/>
      <c r="AX86" s="41" t="s">
        <v>38</v>
      </c>
      <c r="AY86" s="53" t="s">
        <v>202</v>
      </c>
      <c r="AZ86" s="52">
        <f>ROUND((AZ79-AZ80)*1000/(AZ82-AZ81),0)</f>
        <v>2833</v>
      </c>
      <c r="BA86" s="51"/>
    </row>
    <row r="87" spans="1:53" s="7" customFormat="1" ht="15.75">
      <c r="A87" s="51"/>
      <c r="B87" s="51"/>
      <c r="C87" s="51"/>
      <c r="D87" s="51"/>
      <c r="E87" s="51"/>
      <c r="F87" s="51"/>
      <c r="G87" s="51"/>
      <c r="H87" s="51"/>
      <c r="I87" s="51"/>
      <c r="J87" s="51"/>
      <c r="K87" s="51"/>
      <c r="L87" s="51"/>
      <c r="M87" s="51"/>
      <c r="N87" s="51"/>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35" t="s">
        <v>38</v>
      </c>
      <c r="AY87" s="47" t="s">
        <v>203</v>
      </c>
      <c r="AZ87" s="52">
        <f>ROUND(AZ84+AZ88*AZ82/1000,0)</f>
        <v>172517</v>
      </c>
      <c r="BA87" s="51"/>
    </row>
    <row r="88" spans="1:53" s="7" customFormat="1" ht="15.75">
      <c r="A88" s="51"/>
      <c r="B88" s="51"/>
      <c r="C88" s="51"/>
      <c r="D88" s="51"/>
      <c r="E88" s="51"/>
      <c r="F88" s="51"/>
      <c r="G88" s="51"/>
      <c r="H88" s="51"/>
      <c r="I88" s="51"/>
      <c r="J88" s="51"/>
      <c r="K88" s="51"/>
      <c r="L88" s="51"/>
      <c r="M88" s="51"/>
      <c r="N88" s="51"/>
      <c r="O88" s="51"/>
      <c r="P88" s="51"/>
      <c r="Q88" s="51"/>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41" t="s">
        <v>38</v>
      </c>
      <c r="AY88" s="53" t="s">
        <v>204</v>
      </c>
      <c r="AZ88" s="52">
        <f>ROUND((AZ83-AZ84)*1000/(AZ82-AZ81),0)</f>
        <v>2167</v>
      </c>
    </row>
    <row r="89" spans="1:53" s="7" customFormat="1" ht="15.75">
      <c r="A89" s="51"/>
      <c r="B89" s="51"/>
      <c r="C89" s="51"/>
      <c r="D89" s="51"/>
      <c r="E89" s="51"/>
      <c r="F89" s="51"/>
      <c r="G89" s="51"/>
      <c r="H89" s="51"/>
      <c r="I89" s="51"/>
      <c r="J89" s="51"/>
      <c r="K89" s="51"/>
      <c r="L89" s="51"/>
      <c r="M89" s="51"/>
      <c r="N89" s="51"/>
      <c r="O89" s="51"/>
      <c r="P89" s="51"/>
      <c r="Q89" s="51"/>
      <c r="U89" s="51"/>
      <c r="V89" s="51"/>
      <c r="W89" s="51"/>
      <c r="X89" s="51"/>
      <c r="Y89" s="51"/>
      <c r="Z89" s="51"/>
      <c r="AA89" s="51"/>
      <c r="AB89" s="51"/>
      <c r="AC89" s="51"/>
      <c r="AD89" s="51"/>
      <c r="AE89" s="51"/>
      <c r="AF89" s="51"/>
      <c r="AG89" s="51"/>
      <c r="AH89" s="51"/>
      <c r="AI89" s="51"/>
      <c r="AJ89" s="51"/>
      <c r="AK89" s="51"/>
      <c r="AL89" s="51"/>
      <c r="AM89" s="51"/>
      <c r="AN89" s="51"/>
      <c r="AO89" s="51"/>
      <c r="AP89" s="51"/>
      <c r="AQ89" s="51"/>
      <c r="AR89" s="51"/>
      <c r="AS89" s="51"/>
      <c r="AT89" s="51"/>
      <c r="AU89" s="51"/>
      <c r="AV89" s="51"/>
      <c r="AW89" s="51"/>
      <c r="AX89" s="35" t="s">
        <v>38</v>
      </c>
      <c r="AY89" s="36" t="s">
        <v>226</v>
      </c>
      <c r="AZ89" s="49" t="s">
        <v>270</v>
      </c>
    </row>
    <row r="90" spans="1:53" s="7" customFormat="1" ht="15.75">
      <c r="A90" s="51"/>
      <c r="B90" s="51"/>
      <c r="C90" s="51"/>
      <c r="D90" s="51"/>
      <c r="E90" s="51"/>
      <c r="F90" s="51"/>
      <c r="G90" s="51"/>
      <c r="H90" s="51"/>
      <c r="I90" s="51"/>
      <c r="J90" s="51"/>
      <c r="K90" s="51"/>
      <c r="L90" s="51"/>
      <c r="M90" s="51"/>
      <c r="N90" s="51"/>
      <c r="O90" s="51"/>
      <c r="P90" s="51"/>
      <c r="Q90" s="51"/>
      <c r="U90" s="51"/>
      <c r="V90" s="51"/>
      <c r="W90" s="51"/>
      <c r="X90" s="51"/>
      <c r="Y90" s="51"/>
      <c r="Z90" s="51"/>
      <c r="AA90" s="51"/>
      <c r="AB90" s="51"/>
      <c r="AC90" s="51"/>
      <c r="AD90" s="51"/>
      <c r="AE90" s="51"/>
      <c r="AF90" s="51"/>
      <c r="AG90" s="51"/>
      <c r="AH90" s="51"/>
      <c r="AI90" s="51"/>
      <c r="AJ90" s="51"/>
      <c r="AK90" s="51"/>
      <c r="AL90" s="51"/>
      <c r="AM90" s="51"/>
      <c r="AN90" s="51"/>
      <c r="AO90" s="51"/>
      <c r="AP90" s="51"/>
      <c r="AQ90" s="51"/>
      <c r="AR90" s="51"/>
      <c r="AS90" s="51"/>
      <c r="AT90" s="51"/>
      <c r="AU90" s="51"/>
      <c r="AV90" s="51"/>
      <c r="AW90" s="51"/>
      <c r="AX90" s="35" t="s">
        <v>38</v>
      </c>
      <c r="AY90" s="36" t="s">
        <v>228</v>
      </c>
      <c r="AZ90" s="49" t="s">
        <v>270</v>
      </c>
    </row>
    <row r="91" spans="1:53" s="7" customFormat="1" ht="15.75">
      <c r="A91" s="51"/>
      <c r="B91" s="51"/>
      <c r="C91" s="51"/>
      <c r="D91" s="51"/>
      <c r="E91" s="51"/>
      <c r="F91" s="51"/>
      <c r="G91" s="51"/>
      <c r="H91" s="51"/>
      <c r="I91" s="51"/>
      <c r="J91" s="51"/>
      <c r="K91" s="51"/>
      <c r="L91" s="51"/>
      <c r="M91" s="51"/>
      <c r="N91" s="51"/>
      <c r="O91" s="51"/>
      <c r="P91" s="51"/>
      <c r="Q91" s="51"/>
      <c r="U91" s="51"/>
      <c r="V91" s="51"/>
      <c r="W91" s="51"/>
      <c r="X91" s="51"/>
      <c r="Y91" s="51"/>
      <c r="Z91" s="51"/>
      <c r="AA91" s="51"/>
      <c r="AB91" s="51"/>
      <c r="AC91" s="51"/>
      <c r="AD91" s="51"/>
      <c r="AE91" s="51"/>
      <c r="AF91" s="51"/>
      <c r="AG91" s="51"/>
      <c r="AH91" s="51"/>
      <c r="AI91" s="51"/>
      <c r="AJ91" s="51"/>
      <c r="AK91" s="51"/>
      <c r="AL91" s="51"/>
      <c r="AM91" s="51"/>
      <c r="AN91" s="51"/>
      <c r="AO91" s="51"/>
      <c r="AP91" s="51"/>
      <c r="AQ91" s="51"/>
      <c r="AR91" s="51"/>
      <c r="AS91" s="51"/>
      <c r="AT91" s="51"/>
      <c r="AU91" s="51"/>
      <c r="AV91" s="51"/>
      <c r="AW91" s="51"/>
      <c r="AX91" s="35" t="s">
        <v>38</v>
      </c>
      <c r="AY91" s="36" t="s">
        <v>229</v>
      </c>
      <c r="AZ91" s="49" t="s">
        <v>230</v>
      </c>
    </row>
    <row r="92" spans="1:53" s="7" customFormat="1" ht="15.75">
      <c r="A92" s="51"/>
      <c r="B92" s="51"/>
      <c r="C92" s="51"/>
      <c r="D92" s="51"/>
      <c r="E92" s="51"/>
      <c r="F92" s="51"/>
      <c r="G92" s="51"/>
      <c r="H92" s="51"/>
      <c r="I92" s="51"/>
      <c r="J92" s="51"/>
      <c r="K92" s="51"/>
      <c r="L92" s="51"/>
      <c r="M92" s="51"/>
      <c r="N92" s="51"/>
      <c r="O92" s="51"/>
      <c r="P92" s="51"/>
      <c r="Q92" s="51"/>
      <c r="U92" s="51"/>
      <c r="V92" s="51"/>
      <c r="W92" s="51"/>
      <c r="X92" s="51"/>
      <c r="Y92" s="51"/>
      <c r="Z92" s="51"/>
      <c r="AA92" s="51"/>
      <c r="AB92" s="51"/>
      <c r="AC92" s="51"/>
      <c r="AD92" s="51"/>
      <c r="AE92" s="51"/>
      <c r="AF92" s="51"/>
      <c r="AG92" s="51"/>
      <c r="AH92" s="51"/>
      <c r="AI92" s="51"/>
      <c r="AJ92" s="51"/>
      <c r="AK92" s="51"/>
      <c r="AL92" s="51"/>
      <c r="AM92" s="51"/>
      <c r="AN92" s="51"/>
      <c r="AO92" s="51"/>
      <c r="AP92" s="51"/>
      <c r="AQ92" s="51"/>
      <c r="AR92" s="51"/>
      <c r="AS92" s="51"/>
      <c r="AT92" s="51"/>
      <c r="AU92" s="51"/>
      <c r="AV92" s="51"/>
      <c r="AW92" s="51"/>
      <c r="AX92" s="51"/>
    </row>
    <row r="93" spans="1:53" s="7" customFormat="1" ht="15.75">
      <c r="A93" s="51"/>
      <c r="B93" s="51"/>
      <c r="C93" s="51"/>
      <c r="D93" s="51"/>
      <c r="E93" s="51"/>
      <c r="F93" s="51"/>
      <c r="G93" s="51"/>
      <c r="H93" s="51"/>
      <c r="I93" s="51"/>
      <c r="J93" s="51"/>
      <c r="K93" s="51"/>
      <c r="L93" s="51"/>
      <c r="M93" s="51"/>
      <c r="N93" s="51"/>
      <c r="O93" s="51"/>
      <c r="P93" s="51"/>
      <c r="Q93" s="51"/>
      <c r="U93" s="51"/>
      <c r="V93" s="51"/>
      <c r="W93" s="51"/>
      <c r="X93" s="51"/>
      <c r="Y93" s="51"/>
      <c r="Z93" s="51"/>
      <c r="AA93" s="51"/>
      <c r="AB93" s="51"/>
      <c r="AC93" s="51"/>
      <c r="AD93" s="51"/>
      <c r="AE93" s="51"/>
      <c r="AF93" s="51"/>
      <c r="AG93" s="51"/>
      <c r="AH93" s="51"/>
      <c r="AI93" s="51"/>
      <c r="AJ93" s="51"/>
      <c r="AK93" s="51"/>
      <c r="AL93" s="51"/>
      <c r="AM93" s="51"/>
      <c r="AN93" s="51"/>
      <c r="AO93" s="51"/>
      <c r="AP93" s="51"/>
      <c r="AQ93" s="51"/>
      <c r="AR93" s="51"/>
      <c r="AS93" s="51"/>
      <c r="AT93" s="51"/>
      <c r="AU93" s="51"/>
      <c r="AV93" s="51"/>
      <c r="AW93" s="51"/>
      <c r="AX93" s="51"/>
    </row>
    <row r="94" spans="1:53" s="7" customFormat="1" ht="15.75">
      <c r="A94" s="51"/>
      <c r="B94" s="51"/>
      <c r="C94" s="51"/>
      <c r="D94" s="51"/>
      <c r="E94" s="51"/>
      <c r="F94" s="51"/>
      <c r="G94" s="51"/>
      <c r="H94" s="51"/>
      <c r="I94" s="51"/>
      <c r="J94" s="51"/>
      <c r="K94" s="51"/>
      <c r="L94" s="51"/>
      <c r="M94" s="51"/>
      <c r="N94" s="51"/>
      <c r="O94" s="51"/>
      <c r="P94" s="51"/>
      <c r="Q94" s="51"/>
      <c r="U94" s="51"/>
      <c r="V94" s="51"/>
      <c r="W94" s="51"/>
      <c r="X94" s="51"/>
      <c r="Y94" s="51"/>
      <c r="Z94" s="51"/>
      <c r="AA94" s="51"/>
      <c r="AB94" s="51"/>
      <c r="AC94" s="51"/>
      <c r="AD94" s="51"/>
      <c r="AE94" s="51"/>
      <c r="AF94" s="51"/>
      <c r="AG94" s="51"/>
      <c r="AH94" s="51"/>
      <c r="AI94" s="51"/>
      <c r="AJ94" s="51"/>
      <c r="AK94" s="51"/>
      <c r="AL94" s="51"/>
      <c r="AM94" s="51"/>
      <c r="AN94" s="51"/>
      <c r="AO94" s="51"/>
      <c r="AP94" s="51"/>
      <c r="AQ94" s="51"/>
      <c r="AR94" s="51"/>
      <c r="AS94" s="51"/>
      <c r="AT94" s="51"/>
      <c r="AU94" s="51"/>
      <c r="AV94" s="51"/>
      <c r="AW94" s="51"/>
      <c r="AX94" s="51"/>
    </row>
    <row r="95" spans="1:53" ht="15.75">
      <c r="A95" s="51"/>
      <c r="B95" s="51"/>
      <c r="C95" s="51"/>
      <c r="D95" s="51"/>
      <c r="E95" s="51"/>
      <c r="F95" s="51"/>
      <c r="G95" s="51"/>
      <c r="H95" s="51"/>
      <c r="I95" s="51"/>
      <c r="J95" s="51"/>
      <c r="K95" s="51"/>
      <c r="L95" s="51"/>
      <c r="M95" s="51"/>
      <c r="N95" s="51"/>
      <c r="O95" s="51"/>
      <c r="P95" s="51"/>
      <c r="Q95" s="51"/>
      <c r="U95" s="51"/>
      <c r="V95" s="51"/>
      <c r="W95" s="51"/>
      <c r="X95" s="51"/>
      <c r="Y95" s="51"/>
      <c r="Z95" s="51"/>
      <c r="AA95" s="51"/>
      <c r="AB95" s="51"/>
      <c r="AC95" s="51"/>
      <c r="AD95" s="51"/>
      <c r="AE95" s="51"/>
      <c r="AF95" s="51"/>
      <c r="AG95" s="51"/>
      <c r="AH95" s="51"/>
      <c r="AI95" s="51"/>
      <c r="AJ95" s="51"/>
      <c r="AK95" s="51"/>
      <c r="AL95" s="51"/>
      <c r="AM95" s="51"/>
      <c r="AN95" s="51"/>
      <c r="AO95" s="51"/>
      <c r="AP95" s="51"/>
      <c r="AQ95" s="51"/>
      <c r="AR95" s="51"/>
      <c r="AS95" s="51"/>
      <c r="AT95" s="51"/>
      <c r="AU95" s="51"/>
      <c r="AV95" s="51"/>
      <c r="AW95" s="51"/>
      <c r="AX95" s="51"/>
      <c r="AY95" s="1"/>
      <c r="AZ95" s="1"/>
      <c r="BA95" s="1"/>
    </row>
    <row r="96" spans="1:53" ht="15.75">
      <c r="A96" s="51"/>
      <c r="B96" s="51"/>
      <c r="C96" s="51"/>
      <c r="D96" s="51"/>
      <c r="E96" s="51"/>
      <c r="F96" s="51"/>
      <c r="G96" s="51"/>
      <c r="H96" s="51"/>
      <c r="I96" s="51"/>
      <c r="J96" s="51"/>
      <c r="K96" s="51"/>
      <c r="L96" s="51"/>
      <c r="M96" s="51"/>
      <c r="N96" s="51"/>
      <c r="O96" s="51"/>
      <c r="P96" s="51"/>
      <c r="Q96" s="51"/>
      <c r="U96" s="51"/>
      <c r="V96" s="51"/>
      <c r="W96" s="51"/>
      <c r="X96" s="51"/>
      <c r="Y96" s="51"/>
      <c r="Z96" s="51"/>
      <c r="AA96" s="51"/>
      <c r="AB96" s="51"/>
      <c r="AC96" s="51"/>
      <c r="AD96" s="51"/>
      <c r="AE96" s="51"/>
      <c r="AF96" s="51"/>
      <c r="AG96" s="51"/>
      <c r="AH96" s="51"/>
      <c r="AI96" s="51"/>
      <c r="AJ96" s="51"/>
      <c r="AK96" s="51"/>
      <c r="AL96" s="51"/>
      <c r="AM96" s="51"/>
      <c r="AN96" s="51"/>
      <c r="AO96" s="51"/>
      <c r="AP96" s="51"/>
      <c r="AQ96" s="51"/>
      <c r="AR96" s="51"/>
      <c r="AS96" s="51"/>
      <c r="AT96" s="51"/>
      <c r="AU96" s="51"/>
      <c r="AV96" s="51"/>
      <c r="AW96" s="51"/>
      <c r="AX96" s="51"/>
      <c r="AY96" s="1"/>
      <c r="AZ96" s="1"/>
      <c r="BA96" s="1"/>
    </row>
    <row r="97" spans="1:53" ht="15.75">
      <c r="A97" s="51"/>
      <c r="B97" s="51"/>
      <c r="C97" s="51"/>
      <c r="D97" s="51"/>
      <c r="E97" s="51"/>
      <c r="F97" s="51"/>
      <c r="G97" s="51"/>
      <c r="H97" s="51"/>
      <c r="I97" s="51"/>
      <c r="J97" s="51"/>
      <c r="K97" s="51"/>
      <c r="L97" s="51"/>
      <c r="M97" s="51"/>
      <c r="N97" s="51"/>
      <c r="O97" s="51"/>
      <c r="P97" s="51"/>
      <c r="Q97" s="51"/>
      <c r="U97" s="51"/>
      <c r="V97" s="51"/>
      <c r="W97" s="51"/>
      <c r="X97" s="51"/>
      <c r="Y97" s="51"/>
      <c r="Z97" s="51"/>
      <c r="AA97" s="51"/>
      <c r="AB97" s="51"/>
      <c r="AC97" s="51"/>
      <c r="AD97" s="51"/>
      <c r="AE97" s="51"/>
      <c r="AF97" s="51"/>
      <c r="AG97" s="51"/>
      <c r="AH97" s="51"/>
      <c r="AI97" s="51"/>
      <c r="AJ97" s="51"/>
      <c r="AK97" s="51"/>
      <c r="AL97" s="51"/>
      <c r="AM97" s="51"/>
      <c r="AN97" s="51"/>
      <c r="AO97" s="51"/>
      <c r="AP97" s="51"/>
      <c r="AQ97" s="51"/>
      <c r="AR97" s="51"/>
      <c r="AS97" s="51"/>
      <c r="AT97" s="51"/>
      <c r="AU97" s="51"/>
      <c r="AV97" s="51"/>
      <c r="AW97" s="51"/>
      <c r="AX97" s="51"/>
      <c r="AY97" s="1"/>
      <c r="AZ97" s="1"/>
      <c r="BA97" s="1"/>
    </row>
    <row r="98" spans="1:53" ht="15.75">
      <c r="A98" s="51"/>
      <c r="B98" s="51"/>
      <c r="C98" s="51"/>
      <c r="D98" s="51"/>
      <c r="E98" s="51"/>
      <c r="F98" s="51"/>
      <c r="G98" s="51"/>
      <c r="H98" s="51"/>
      <c r="I98" s="51"/>
      <c r="J98" s="51"/>
      <c r="K98" s="51"/>
      <c r="L98" s="51"/>
      <c r="M98" s="51"/>
      <c r="N98" s="51"/>
      <c r="O98" s="51"/>
      <c r="P98" s="51"/>
      <c r="Q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c r="AT98" s="51"/>
      <c r="AU98" s="51"/>
      <c r="AV98" s="51"/>
      <c r="AW98" s="51"/>
      <c r="AX98" s="51"/>
      <c r="AY98" s="1"/>
      <c r="AZ98" s="1"/>
      <c r="BA98" s="1"/>
    </row>
    <row r="99" spans="1:53" ht="15.75">
      <c r="A99" s="51"/>
      <c r="B99" s="51"/>
      <c r="C99" s="51"/>
      <c r="D99" s="51"/>
      <c r="E99" s="51"/>
      <c r="F99" s="51"/>
      <c r="G99" s="51"/>
      <c r="H99" s="51"/>
      <c r="I99" s="51"/>
      <c r="J99" s="51"/>
      <c r="K99" s="51"/>
      <c r="L99" s="51"/>
      <c r="M99" s="51"/>
      <c r="N99" s="51"/>
      <c r="O99" s="51"/>
      <c r="P99" s="51"/>
      <c r="Q99" s="51"/>
      <c r="U99" s="51"/>
      <c r="V99" s="51"/>
      <c r="W99" s="51"/>
      <c r="X99" s="51"/>
      <c r="Y99" s="51"/>
      <c r="Z99" s="51"/>
      <c r="AA99" s="51"/>
      <c r="AB99" s="51"/>
      <c r="AC99" s="51"/>
      <c r="AD99" s="51"/>
      <c r="AE99" s="51"/>
      <c r="AF99" s="51"/>
      <c r="AG99" s="51"/>
      <c r="AH99" s="51"/>
      <c r="AI99" s="51"/>
      <c r="AJ99" s="51"/>
      <c r="AK99" s="51"/>
      <c r="AL99" s="51"/>
      <c r="AM99" s="51"/>
      <c r="AN99" s="51"/>
      <c r="AO99" s="51"/>
      <c r="AP99" s="51"/>
      <c r="AQ99" s="51"/>
      <c r="AR99" s="51"/>
      <c r="AS99" s="51"/>
      <c r="AT99" s="51"/>
      <c r="AU99" s="51"/>
      <c r="AV99" s="51"/>
      <c r="AW99" s="51"/>
      <c r="AX99" s="51"/>
      <c r="AY99" s="1"/>
      <c r="AZ99" s="1"/>
      <c r="BA99" s="1"/>
    </row>
    <row r="100" spans="1:53" ht="15.75">
      <c r="A100" s="51"/>
      <c r="B100" s="51"/>
      <c r="C100" s="51"/>
      <c r="D100" s="51"/>
      <c r="E100" s="51"/>
      <c r="F100" s="51"/>
      <c r="G100" s="51"/>
      <c r="H100" s="51"/>
      <c r="I100" s="51"/>
      <c r="J100" s="51"/>
      <c r="K100" s="51"/>
      <c r="L100" s="51"/>
      <c r="M100" s="51"/>
      <c r="N100" s="51"/>
      <c r="O100" s="51"/>
      <c r="P100" s="51"/>
      <c r="Q100" s="51"/>
      <c r="U100" s="51"/>
      <c r="V100" s="51"/>
      <c r="W100" s="51"/>
      <c r="X100" s="51"/>
      <c r="Y100" s="51"/>
      <c r="Z100" s="51"/>
      <c r="AA100" s="51"/>
      <c r="AB100" s="51"/>
      <c r="AC100" s="51"/>
      <c r="AD100" s="51"/>
      <c r="AE100" s="51"/>
      <c r="AF100" s="51"/>
      <c r="AG100" s="51"/>
      <c r="AH100" s="51"/>
      <c r="AI100" s="51"/>
      <c r="AJ100" s="51"/>
      <c r="AK100" s="51"/>
      <c r="AL100" s="51"/>
      <c r="AM100" s="51"/>
      <c r="AN100" s="51"/>
      <c r="AO100" s="51"/>
      <c r="AP100" s="51"/>
      <c r="AQ100" s="51"/>
      <c r="AR100" s="51"/>
      <c r="AS100" s="51"/>
      <c r="AT100" s="51"/>
      <c r="AU100" s="51"/>
      <c r="AV100" s="51"/>
      <c r="AW100" s="51"/>
      <c r="AX100" s="51"/>
      <c r="AY100" s="51"/>
      <c r="AZ100" s="51"/>
      <c r="BA100" s="51"/>
    </row>
    <row r="101" spans="1:53" ht="15.75">
      <c r="A101" s="51"/>
      <c r="B101" s="51"/>
      <c r="C101" s="51"/>
      <c r="D101" s="51"/>
      <c r="E101" s="51"/>
      <c r="F101" s="51"/>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c r="AT101" s="51"/>
      <c r="AU101" s="51"/>
      <c r="AV101" s="51"/>
      <c r="AW101" s="51"/>
      <c r="AX101" s="51"/>
      <c r="AY101" s="51"/>
      <c r="AZ101" s="51"/>
      <c r="BA101" s="51"/>
    </row>
    <row r="102" spans="1:53" ht="15.75">
      <c r="A102" s="51"/>
      <c r="B102" s="51"/>
      <c r="C102" s="51"/>
      <c r="D102" s="51"/>
      <c r="E102" s="51"/>
      <c r="F102" s="51"/>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c r="AT102" s="51"/>
      <c r="AU102" s="51"/>
      <c r="AV102" s="51"/>
      <c r="AW102" s="51"/>
      <c r="AX102" s="51"/>
      <c r="AY102" s="51"/>
      <c r="AZ102" s="51"/>
      <c r="BA102" s="51"/>
    </row>
    <row r="103" spans="1:53" ht="15.75">
      <c r="A103" s="51"/>
      <c r="B103" s="51"/>
      <c r="C103" s="51"/>
      <c r="D103" s="51"/>
      <c r="E103" s="51"/>
      <c r="F103" s="51"/>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c r="AJ103" s="51"/>
      <c r="AK103" s="51"/>
      <c r="AL103" s="51"/>
      <c r="AM103" s="51"/>
      <c r="AN103" s="51"/>
      <c r="AO103" s="51"/>
      <c r="AP103" s="51"/>
      <c r="AQ103" s="51"/>
      <c r="AR103" s="51"/>
      <c r="AS103" s="51"/>
      <c r="AT103" s="51"/>
      <c r="AU103" s="51"/>
      <c r="AV103" s="51"/>
      <c r="AW103" s="51"/>
      <c r="AX103" s="51"/>
      <c r="AY103" s="51"/>
      <c r="AZ103" s="51"/>
      <c r="BA103" s="51"/>
    </row>
    <row r="104" spans="1:53" ht="15.75">
      <c r="A104" s="51"/>
      <c r="B104" s="51"/>
      <c r="C104" s="51"/>
      <c r="D104" s="51"/>
      <c r="E104" s="51"/>
      <c r="F104" s="51"/>
      <c r="G104" s="51"/>
      <c r="H104" s="51"/>
      <c r="I104" s="51"/>
      <c r="J104" s="51"/>
      <c r="K104" s="51"/>
      <c r="L104" s="51"/>
      <c r="M104" s="51"/>
      <c r="N104" s="51"/>
      <c r="O104" s="51"/>
      <c r="P104" s="51"/>
      <c r="Q104" s="51"/>
      <c r="R104" s="51"/>
      <c r="S104" s="51"/>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c r="AT104" s="51"/>
      <c r="AU104" s="51"/>
      <c r="AV104" s="51"/>
      <c r="AW104" s="51"/>
      <c r="AX104" s="51"/>
      <c r="AY104" s="51"/>
      <c r="AZ104" s="51"/>
      <c r="BA104" s="51"/>
    </row>
    <row r="105" spans="1:53" ht="15.75">
      <c r="A105" s="51"/>
      <c r="B105" s="51"/>
      <c r="C105" s="51"/>
      <c r="D105" s="51"/>
      <c r="E105" s="51"/>
      <c r="F105" s="51"/>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c r="AD105" s="51"/>
      <c r="AE105" s="51"/>
      <c r="AF105" s="51"/>
      <c r="AG105" s="51"/>
      <c r="AH105" s="51"/>
      <c r="AI105" s="51"/>
      <c r="AJ105" s="51"/>
      <c r="AK105" s="51"/>
      <c r="AL105" s="51"/>
      <c r="AM105" s="51"/>
      <c r="AN105" s="51"/>
      <c r="AO105" s="51"/>
      <c r="AP105" s="51"/>
      <c r="AQ105" s="51"/>
      <c r="AR105" s="51"/>
      <c r="AS105" s="51"/>
      <c r="AT105" s="51"/>
      <c r="AU105" s="51"/>
      <c r="AV105" s="51"/>
      <c r="AW105" s="51"/>
      <c r="AX105" s="51"/>
      <c r="AY105" s="51"/>
      <c r="AZ105" s="51"/>
      <c r="BA105" s="51"/>
    </row>
    <row r="106" spans="1:53" ht="15.75">
      <c r="A106" s="51"/>
      <c r="B106" s="51"/>
      <c r="C106" s="51"/>
      <c r="D106" s="51"/>
      <c r="E106" s="51"/>
      <c r="F106" s="51"/>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c r="AV106" s="51"/>
      <c r="AW106" s="51"/>
      <c r="AX106" s="51"/>
      <c r="AY106" s="51"/>
      <c r="AZ106" s="51"/>
      <c r="BA106" s="51"/>
    </row>
    <row r="107" spans="1:53" ht="15.75">
      <c r="A107" s="51"/>
      <c r="B107" s="51"/>
      <c r="C107" s="51"/>
      <c r="D107" s="51"/>
      <c r="E107" s="51"/>
      <c r="F107" s="51"/>
      <c r="G107" s="51"/>
      <c r="H107" s="51"/>
      <c r="I107" s="5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c r="AV107" s="51"/>
      <c r="AW107" s="51"/>
      <c r="AX107" s="51"/>
      <c r="AY107" s="51"/>
      <c r="AZ107" s="51"/>
      <c r="BA107" s="51"/>
    </row>
    <row r="108" spans="1:53" ht="15.75">
      <c r="A108" s="51"/>
      <c r="B108" s="51"/>
      <c r="C108" s="51"/>
      <c r="D108" s="51"/>
      <c r="E108" s="51"/>
      <c r="F108" s="51"/>
      <c r="G108" s="51"/>
      <c r="H108" s="51"/>
      <c r="I108" s="5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c r="AV108" s="51"/>
      <c r="AW108" s="51"/>
      <c r="AX108" s="51"/>
      <c r="AY108" s="51"/>
      <c r="AZ108" s="51"/>
      <c r="BA108" s="51"/>
    </row>
    <row r="109" spans="1:53" ht="15.75">
      <c r="A109" s="51"/>
      <c r="B109" s="51"/>
      <c r="C109" s="51"/>
      <c r="D109" s="51"/>
      <c r="E109" s="51"/>
      <c r="F109" s="51"/>
      <c r="G109" s="51"/>
      <c r="H109" s="51"/>
      <c r="I109" s="5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c r="AV109" s="51"/>
      <c r="AW109" s="51"/>
      <c r="AX109" s="51"/>
      <c r="AY109" s="51"/>
      <c r="AZ109" s="51"/>
      <c r="BA109" s="51"/>
    </row>
    <row r="110" spans="1:53" ht="15.75">
      <c r="A110" s="51"/>
      <c r="B110" s="51"/>
      <c r="C110" s="51"/>
      <c r="D110" s="51"/>
      <c r="E110" s="51"/>
      <c r="F110" s="51"/>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c r="AV110" s="51"/>
      <c r="AW110" s="51"/>
      <c r="AX110" s="51"/>
      <c r="AY110" s="51"/>
      <c r="AZ110" s="51"/>
      <c r="BA110" s="51"/>
    </row>
    <row r="111" spans="1:53" ht="15.75">
      <c r="A111" s="51"/>
      <c r="B111" s="51"/>
      <c r="C111" s="51"/>
      <c r="D111" s="51"/>
      <c r="E111" s="51"/>
      <c r="F111" s="51"/>
      <c r="G111" s="51"/>
      <c r="H111" s="51"/>
      <c r="I111" s="5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c r="AV111" s="51"/>
      <c r="AW111" s="51"/>
      <c r="AX111" s="51"/>
      <c r="AY111" s="51"/>
      <c r="AZ111" s="51"/>
      <c r="BA111" s="51"/>
    </row>
    <row r="112" spans="1:53" ht="15.75">
      <c r="A112" s="51"/>
      <c r="B112" s="51"/>
      <c r="C112" s="51"/>
      <c r="D112" s="51"/>
      <c r="E112" s="51"/>
      <c r="F112" s="51"/>
      <c r="G112" s="51"/>
      <c r="H112" s="51"/>
      <c r="I112" s="5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c r="AV112" s="51"/>
      <c r="AW112" s="51"/>
      <c r="AX112" s="51"/>
      <c r="AY112" s="51"/>
      <c r="AZ112" s="51"/>
      <c r="BA112" s="51"/>
    </row>
    <row r="113" spans="1:53" ht="15.75">
      <c r="A113" s="51"/>
      <c r="B113" s="51"/>
      <c r="C113" s="51"/>
      <c r="D113" s="51"/>
      <c r="E113" s="51"/>
      <c r="F113" s="51"/>
      <c r="G113" s="51"/>
      <c r="H113" s="51"/>
      <c r="I113" s="5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c r="AV113" s="51"/>
      <c r="AW113" s="51"/>
      <c r="AX113" s="51"/>
      <c r="AY113" s="51"/>
      <c r="AZ113" s="51"/>
      <c r="BA113" s="51"/>
    </row>
    <row r="114" spans="1:53" ht="15.75">
      <c r="A114" s="51"/>
      <c r="B114" s="51"/>
      <c r="C114" s="51"/>
      <c r="D114" s="51"/>
      <c r="E114" s="51"/>
      <c r="F114" s="51"/>
      <c r="G114" s="51"/>
      <c r="H114" s="51"/>
      <c r="I114" s="5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c r="AV114" s="51"/>
      <c r="AW114" s="51"/>
      <c r="AX114" s="51"/>
      <c r="AY114" s="51"/>
      <c r="AZ114" s="51"/>
      <c r="BA114" s="51"/>
    </row>
    <row r="115" spans="1:53" ht="15.75">
      <c r="A115" s="51"/>
      <c r="B115" s="51"/>
      <c r="C115" s="51"/>
      <c r="D115" s="51"/>
      <c r="E115" s="51"/>
      <c r="F115" s="51"/>
      <c r="G115" s="51"/>
      <c r="H115" s="51"/>
      <c r="I115" s="5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c r="AV115" s="51"/>
      <c r="AW115" s="51"/>
      <c r="AX115" s="51"/>
      <c r="AY115" s="51"/>
      <c r="AZ115" s="51"/>
      <c r="BA115" s="51"/>
    </row>
    <row r="116" spans="1:53" ht="15.75">
      <c r="A116" s="51"/>
      <c r="B116" s="51"/>
      <c r="C116" s="51"/>
      <c r="D116" s="51"/>
      <c r="E116" s="51"/>
      <c r="F116" s="51"/>
      <c r="G116" s="51"/>
      <c r="H116" s="51"/>
      <c r="I116" s="51"/>
      <c r="J116" s="51"/>
      <c r="K116" s="51"/>
      <c r="L116" s="51"/>
      <c r="M116" s="51"/>
      <c r="N116" s="51"/>
      <c r="O116" s="51"/>
      <c r="P116" s="51"/>
      <c r="Q116" s="51"/>
      <c r="R116" s="51"/>
      <c r="S116" s="51"/>
      <c r="T116" s="51"/>
      <c r="U116" s="51"/>
      <c r="V116" s="51"/>
      <c r="W116" s="51"/>
      <c r="X116" s="51"/>
      <c r="Y116" s="51"/>
      <c r="Z116" s="51"/>
      <c r="AA116" s="51"/>
      <c r="AB116" s="51"/>
      <c r="AC116" s="51"/>
      <c r="AD116" s="51"/>
      <c r="AE116" s="51"/>
      <c r="AF116" s="51"/>
      <c r="AG116" s="51"/>
      <c r="AH116" s="51"/>
      <c r="AI116" s="51"/>
      <c r="AJ116" s="51"/>
      <c r="AK116" s="51"/>
      <c r="AL116" s="51"/>
      <c r="AM116" s="51"/>
      <c r="AN116" s="51"/>
      <c r="AO116" s="51"/>
      <c r="AP116" s="51"/>
      <c r="AQ116" s="51"/>
      <c r="AR116" s="51"/>
      <c r="AS116" s="51"/>
      <c r="AT116" s="51"/>
      <c r="AU116" s="51"/>
      <c r="AV116" s="51"/>
      <c r="AW116" s="51"/>
      <c r="AX116" s="51"/>
      <c r="AY116" s="51"/>
      <c r="AZ116" s="51"/>
      <c r="BA116" s="51"/>
    </row>
    <row r="117" spans="1:53" ht="15.75">
      <c r="A117" s="51"/>
      <c r="B117" s="51"/>
      <c r="C117" s="51"/>
      <c r="D117" s="51"/>
      <c r="E117" s="51"/>
      <c r="F117" s="51"/>
      <c r="G117" s="51"/>
      <c r="H117" s="51"/>
      <c r="I117" s="51"/>
      <c r="J117" s="51"/>
      <c r="K117" s="51"/>
      <c r="L117" s="51"/>
      <c r="M117" s="51"/>
      <c r="N117" s="51"/>
      <c r="O117" s="51"/>
      <c r="P117" s="51"/>
      <c r="Q117" s="51"/>
      <c r="R117" s="51"/>
      <c r="S117" s="51"/>
      <c r="T117" s="51"/>
      <c r="U117" s="51"/>
      <c r="V117" s="51"/>
      <c r="W117" s="51"/>
      <c r="X117" s="51"/>
      <c r="Y117" s="51"/>
      <c r="Z117" s="51"/>
      <c r="AA117" s="51"/>
      <c r="AB117" s="51"/>
      <c r="AC117" s="51"/>
      <c r="AD117" s="51"/>
      <c r="AE117" s="51"/>
      <c r="AF117" s="51"/>
      <c r="AG117" s="51"/>
      <c r="AH117" s="51"/>
      <c r="AI117" s="51"/>
      <c r="AJ117" s="51"/>
      <c r="AK117" s="51"/>
      <c r="AL117" s="51"/>
      <c r="AM117" s="51"/>
      <c r="AN117" s="51"/>
      <c r="AO117" s="51"/>
      <c r="AP117" s="51"/>
      <c r="AQ117" s="51"/>
      <c r="AR117" s="51"/>
      <c r="AS117" s="51"/>
      <c r="AT117" s="51"/>
      <c r="AU117" s="51"/>
      <c r="AV117" s="51"/>
      <c r="AW117" s="51"/>
      <c r="AX117" s="51"/>
      <c r="AY117" s="51"/>
      <c r="AZ117" s="51"/>
      <c r="BA117" s="51"/>
    </row>
    <row r="118" spans="1:53" ht="15.75">
      <c r="A118" s="51"/>
      <c r="B118" s="51"/>
      <c r="C118" s="51"/>
      <c r="D118" s="51"/>
      <c r="E118" s="51"/>
      <c r="F118" s="51"/>
      <c r="G118" s="51"/>
      <c r="H118" s="51"/>
      <c r="I118" s="51"/>
      <c r="J118" s="51"/>
      <c r="K118" s="51"/>
      <c r="L118" s="51"/>
      <c r="M118" s="51"/>
      <c r="N118" s="51"/>
      <c r="O118" s="51"/>
      <c r="P118" s="51"/>
      <c r="Q118" s="51"/>
      <c r="R118" s="51"/>
      <c r="S118" s="51"/>
      <c r="T118" s="51"/>
      <c r="U118" s="51"/>
      <c r="V118" s="51"/>
      <c r="W118" s="51"/>
      <c r="X118" s="51"/>
      <c r="Y118" s="51"/>
      <c r="Z118" s="51"/>
      <c r="AA118" s="51"/>
      <c r="AB118" s="51"/>
      <c r="AC118" s="51"/>
      <c r="AD118" s="51"/>
      <c r="AE118" s="51"/>
      <c r="AF118" s="51"/>
      <c r="AG118" s="51"/>
      <c r="AH118" s="51"/>
      <c r="AI118" s="51"/>
      <c r="AJ118" s="51"/>
      <c r="AK118" s="51"/>
      <c r="AL118" s="51"/>
      <c r="AM118" s="51"/>
      <c r="AN118" s="51"/>
      <c r="AO118" s="51"/>
      <c r="AP118" s="51"/>
      <c r="AQ118" s="51"/>
      <c r="AR118" s="51"/>
      <c r="AS118" s="51"/>
      <c r="AT118" s="51"/>
      <c r="AU118" s="51"/>
      <c r="AV118" s="51"/>
      <c r="AW118" s="51"/>
      <c r="AX118" s="51"/>
      <c r="AY118" s="51"/>
      <c r="AZ118" s="51"/>
      <c r="BA118" s="51"/>
    </row>
    <row r="119" spans="1:53" ht="15.75">
      <c r="A119" s="51"/>
      <c r="B119" s="51"/>
      <c r="C119" s="51"/>
      <c r="D119" s="51"/>
      <c r="E119" s="51"/>
      <c r="F119" s="51"/>
      <c r="G119" s="51"/>
      <c r="H119" s="51"/>
      <c r="I119" s="51"/>
      <c r="J119" s="51"/>
      <c r="K119" s="51"/>
      <c r="L119" s="51"/>
      <c r="M119" s="51"/>
      <c r="N119" s="51"/>
      <c r="O119" s="51"/>
      <c r="P119" s="51"/>
      <c r="Q119" s="51"/>
      <c r="R119" s="51"/>
      <c r="S119" s="51"/>
      <c r="T119" s="51"/>
      <c r="U119" s="51"/>
      <c r="V119" s="51"/>
      <c r="W119" s="51"/>
      <c r="X119" s="51"/>
      <c r="Y119" s="51"/>
      <c r="Z119" s="51"/>
      <c r="AA119" s="51"/>
      <c r="AB119" s="51"/>
      <c r="AC119" s="51"/>
      <c r="AD119" s="51"/>
      <c r="AE119" s="51"/>
      <c r="AF119" s="51"/>
      <c r="AG119" s="51"/>
      <c r="AH119" s="51"/>
      <c r="AI119" s="51"/>
      <c r="AJ119" s="51"/>
      <c r="AK119" s="51"/>
      <c r="AL119" s="51"/>
      <c r="AM119" s="51"/>
      <c r="AN119" s="51"/>
      <c r="AO119" s="51"/>
      <c r="AP119" s="51"/>
      <c r="AQ119" s="51"/>
      <c r="AR119" s="51"/>
      <c r="AS119" s="51"/>
      <c r="AT119" s="51"/>
      <c r="AU119" s="51"/>
      <c r="AV119" s="51"/>
      <c r="AW119" s="51"/>
      <c r="AX119" s="51"/>
      <c r="AY119" s="51"/>
      <c r="AZ119" s="51"/>
      <c r="BA119" s="51"/>
    </row>
    <row r="120" spans="1:53" ht="15.75">
      <c r="A120" s="51"/>
      <c r="B120" s="51"/>
      <c r="C120" s="51"/>
      <c r="D120" s="51"/>
      <c r="E120" s="51"/>
      <c r="F120" s="51"/>
      <c r="G120" s="51"/>
      <c r="H120" s="51"/>
      <c r="I120" s="51"/>
      <c r="J120" s="51"/>
      <c r="K120" s="51"/>
      <c r="L120" s="51"/>
      <c r="M120" s="51"/>
      <c r="N120" s="51"/>
      <c r="O120" s="51"/>
      <c r="P120" s="51"/>
      <c r="Q120" s="51"/>
      <c r="R120" s="51"/>
      <c r="S120" s="51"/>
      <c r="T120" s="51"/>
      <c r="U120" s="51"/>
      <c r="V120" s="51"/>
      <c r="W120" s="51"/>
      <c r="X120" s="51"/>
      <c r="Y120" s="51"/>
      <c r="Z120" s="51"/>
      <c r="AA120" s="51"/>
      <c r="AB120" s="51"/>
      <c r="AC120" s="51"/>
      <c r="AD120" s="51"/>
      <c r="AE120" s="51"/>
      <c r="AF120" s="51"/>
      <c r="AG120" s="51"/>
      <c r="AH120" s="51"/>
      <c r="AI120" s="51"/>
      <c r="AJ120" s="51"/>
      <c r="AK120" s="51"/>
      <c r="AL120" s="51"/>
      <c r="AM120" s="51"/>
      <c r="AN120" s="51"/>
      <c r="AO120" s="51"/>
      <c r="AP120" s="51"/>
      <c r="AQ120" s="51"/>
      <c r="AR120" s="51"/>
      <c r="AS120" s="51"/>
      <c r="AT120" s="51"/>
      <c r="AU120" s="51"/>
      <c r="AV120" s="51"/>
      <c r="AW120" s="51"/>
      <c r="AX120" s="51"/>
      <c r="AY120" s="51"/>
      <c r="AZ120" s="51"/>
      <c r="BA120" s="51"/>
    </row>
    <row r="121" spans="1:53" ht="15.75">
      <c r="A121" s="51"/>
      <c r="B121" s="51"/>
      <c r="C121" s="51"/>
      <c r="D121" s="51"/>
      <c r="E121" s="51"/>
      <c r="F121" s="51"/>
      <c r="G121" s="51"/>
      <c r="H121" s="51"/>
      <c r="I121" s="51"/>
      <c r="J121" s="51"/>
      <c r="K121" s="51"/>
      <c r="L121" s="51"/>
      <c r="M121" s="51"/>
      <c r="N121" s="51"/>
      <c r="O121" s="51"/>
      <c r="P121" s="51"/>
      <c r="Q121" s="51"/>
      <c r="R121" s="51"/>
      <c r="S121" s="51"/>
      <c r="T121" s="51"/>
      <c r="U121" s="51"/>
      <c r="V121" s="51"/>
      <c r="W121" s="51"/>
      <c r="X121" s="51"/>
      <c r="Y121" s="51"/>
      <c r="Z121" s="51"/>
      <c r="AA121" s="51"/>
      <c r="AB121" s="51"/>
      <c r="AC121" s="51"/>
      <c r="AD121" s="51"/>
      <c r="AE121" s="51"/>
      <c r="AF121" s="51"/>
      <c r="AG121" s="51"/>
      <c r="AH121" s="51"/>
      <c r="AI121" s="51"/>
      <c r="AJ121" s="51"/>
      <c r="AK121" s="51"/>
      <c r="AL121" s="51"/>
      <c r="AM121" s="51"/>
      <c r="AN121" s="51"/>
      <c r="AO121" s="51"/>
      <c r="AP121" s="51"/>
      <c r="AQ121" s="51"/>
      <c r="AR121" s="51"/>
      <c r="AS121" s="51"/>
      <c r="AT121" s="51"/>
      <c r="AU121" s="51"/>
      <c r="AV121" s="51"/>
      <c r="AW121" s="51"/>
      <c r="AX121" s="51"/>
      <c r="AY121" s="51"/>
      <c r="AZ121" s="51"/>
      <c r="BA121" s="51"/>
    </row>
    <row r="122" spans="1:53" ht="15.75">
      <c r="A122" s="51"/>
      <c r="B122" s="51"/>
      <c r="C122" s="51"/>
      <c r="D122" s="51"/>
      <c r="E122" s="51"/>
      <c r="F122" s="51"/>
      <c r="G122" s="51"/>
      <c r="H122" s="51"/>
      <c r="I122" s="51"/>
      <c r="J122" s="51"/>
      <c r="K122" s="51"/>
      <c r="L122" s="51"/>
      <c r="M122" s="51"/>
      <c r="N122" s="51"/>
      <c r="O122" s="51"/>
      <c r="P122" s="51"/>
      <c r="Q122" s="51"/>
      <c r="R122" s="51"/>
      <c r="S122" s="51"/>
      <c r="T122" s="51"/>
      <c r="U122" s="51"/>
      <c r="V122" s="51"/>
      <c r="W122" s="51"/>
      <c r="X122" s="51"/>
      <c r="Y122" s="51"/>
      <c r="Z122" s="51"/>
      <c r="AA122" s="51"/>
      <c r="AB122" s="51"/>
      <c r="AC122" s="51"/>
      <c r="AD122" s="51"/>
      <c r="AE122" s="51"/>
      <c r="AF122" s="51"/>
      <c r="AG122" s="51"/>
      <c r="AH122" s="51"/>
      <c r="AI122" s="51"/>
      <c r="AJ122" s="51"/>
      <c r="AK122" s="51"/>
      <c r="AL122" s="51"/>
      <c r="AM122" s="51"/>
      <c r="AN122" s="51"/>
      <c r="AO122" s="51"/>
      <c r="AP122" s="51"/>
      <c r="AQ122" s="51"/>
      <c r="AR122" s="51"/>
      <c r="AS122" s="51"/>
      <c r="AT122" s="51"/>
      <c r="AU122" s="51"/>
      <c r="AV122" s="51"/>
      <c r="AW122" s="51"/>
      <c r="AX122" s="51"/>
      <c r="AY122" s="51"/>
      <c r="AZ122" s="51"/>
      <c r="BA122" s="51"/>
    </row>
  </sheetData>
  <phoneticPr fontId="8" type="noConversion"/>
  <dataValidations count="14">
    <dataValidation type="list" allowBlank="1" showInputMessage="1" sqref="AA19">
      <formula1>'[1]6735_coolers'!A2:A134</formula1>
    </dataValidation>
    <dataValidation type="list" allowBlank="1" showInputMessage="1" sqref="C12">
      <formula1>'[4]6755_coolers'!A2:A134</formula1>
    </dataValidation>
    <dataValidation type="list" allowBlank="1" showInputMessage="1" showErrorMessage="1" sqref="C13:C15 AA20:AA22">
      <formula1>"NULL, CPU0 loading(%), Wifi usage(Kb/s), EXIT, mtktscpu, mtktsabb, mtktspmic, mtktsbattery, mtktspa, mtktswmt, mtktsAP, mtktsbuck, mtktsbattery2, mtktsxtal"</formula1>
    </dataValidation>
    <dataValidation type="list" allowBlank="1" showInputMessage="1" sqref="AA5">
      <formula1>'[3]6755_coolers'!A2:A134</formula1>
    </dataValidation>
    <dataValidation type="list" allowBlank="1" showInputMessage="1" sqref="AE5">
      <formula1>'[2]6755_coolers'!A2:A134</formula1>
    </dataValidation>
    <dataValidation type="list" allowBlank="1" showInputMessage="1" showErrorMessage="1" sqref="AE1">
      <formula1>'[2]6755_tz'!A2:A97</formula1>
    </dataValidation>
    <dataValidation type="list" allowBlank="1" showInputMessage="1" showErrorMessage="1" sqref="AA41:AA43 AY20:AY22 AE55:AE57 AE48:AE50 AE41:AE43 AE34:AE36 AE27:AE29 AE20:AE22 AE69:AE71 AE13:AE15 AE62:AE64 AI69:AI71 AU62:AU64 O13:O15 O69:O71 O20:O22 O27:O29 O34:O36 O41:O43 O6:O8 O48:O50 O55:O57 O62:O64 C69:C71 C34:C36 C6:C8 C48:C50 C55:C57 C62:C64 S13:S15 S69:S71 S20:S22 S27:S29 S34:S36 S41:S43 S6:S8 S48:S50 S55:S57 S62:S64 AQ6:AQ8 G69:G71 G20:G22 K69:K71 G27:G29 G34:G36 G41:G43 AY55:AY57 K34:K36 G6:G8 G48:G50 G55:G57 K41:K43 AA6:AA8 G62:G64 K48:K50 K55:K57 K62:K64 W13:W15 W69:W71 W20:W22 W27:W29 W34:W36 W41:W43 W6:W8 W48:W50 W55:W57 W62:W64 C27:C29 AU6:AU8 AM6:AM8 G13:G15 AA55:AA57 AA48:AA50 AI62:AI64 AI13:AI15 C20:C22 AY62:AY64 AA69:AA71 AY69:AY71 AA62:AA64 AY48:AY50 AY41:AY43 AY34:AY36 AY27:AY29 AY13:AY15 AA27:AA29 AI20:AI22 C41:C43 AI48:AI50 AE6:AE8 AM55:AM57 AM48:AM50 AM41:AM43 AM34:AM36 AM27:AM29 AM20:AM22 AM69:AM71 AM13:AM15 AM62:AM64 AA34:AA36 AQ55:AQ57 AQ48:AQ50 AQ41:AQ43 AQ34:AQ36 AQ27:AQ29 AQ20:AQ22 AQ69:AQ71 AQ13:AQ15 AQ62:AQ64 AY6:AY8 AU55:AU57 AU48:AU50 AU41:AU43 AU34:AU36 AU27:AU29 AU20:AU22 AU69:AU71 AU13:AU15 AI6:AI8 AI55:AI57 AI41:AI43 AI34:AI36 AI27:AI29 AA13:AA15 K13:K15 K20:K22 K6:K8 K27:K29">
      <formula1>"NULL, CPU0 loading(%), Wifi usage(Kb/s), &lt; Mobile usage(Kb/s), EXIT, mtktscpu, mtktsabb, mtktspmic, mtktsbattery, mtktspa, mtktswmt, mtktsAP, mtktsbuck, mtktsbattery2, mtktsxtal"</formula1>
    </dataValidation>
    <dataValidation type="list" allowBlank="1" showInputMessage="1" showErrorMessage="1" sqref="T77 D1 H1 T1 X1 P1 AB1 X77 AJ1 AN1 AR1 H77 L77 AZ77 AF1 AB77 P77 D77 AV1 AZ1 AV77 AF77 AJ77 AN77 AR77 L1">
      <formula1>"ENABLE,DISABLE"</formula1>
    </dataValidation>
    <dataValidation type="decimal" allowBlank="1" showInputMessage="1" showErrorMessage="1" errorTitle="Invalid" error="Must be 0 or 1" promptTitle="kernel log" prompt="[1, max step]" sqref="AN78 AR78 AV78">
      <formula1>1</formula1>
      <formula2>5</formula2>
    </dataValidation>
    <dataValidation type="decimal" allowBlank="1" showInputMessage="1" showErrorMessage="1" errorTitle="Invalid" error="Must between [-1, 65535]" promptTitle="Range" prompt="0 or between [100, 25500]" sqref="AN79:AN80 AR79:AR80 AV79:AV80 AJ79:AJ86">
      <formula1>0</formula1>
      <formula2>25500</formula2>
    </dataValidation>
    <dataValidation type="decimal" allowBlank="1" showInputMessage="1" showErrorMessage="1" errorTitle="Invalid" error="Must be 0 or 1" promptTitle="kernel log" prompt="0, off (default)_x000a_1, on" sqref="L78 AJ78">
      <formula1>0</formula1>
      <formula2>1</formula2>
    </dataValidation>
    <dataValidation type="decimal" allowBlank="1" showInputMessage="1" showErrorMessage="1" errorTitle="Invalid" error="Must between [-1, 65535]" promptTitle="Range" prompt="between [-1, 65535]" sqref="L79:L81">
      <formula1>-1</formula1>
      <formula2>65535</formula2>
    </dataValidation>
    <dataValidation type="list" allowBlank="1" showInputMessage="1" showErrorMessage="1" sqref="AU1 C1 G1 AY1 O1 S1 W1 AI1 AA1 AM1 AQ1 K1">
      <formula1>'6755_tz'!A2:A97</formula1>
    </dataValidation>
    <dataValidation type="list" allowBlank="1" showInputMessage="1" sqref="AE61 AE47 AE40 AE33 AE26 AE19 AE12 AE68 AI26 AU5 C5 C33 C47 C54 C61 C68 AU12 G5 G19 G26 G33 G40 G47 G54 G61 G68 AY19 AU68 AY26 AQ5 K33 K40 K47 K54 K61 K68 O12 O5 O19 O26 O33 O40 O47 O54 O61 O68 S12 S5 S19 S26 S33 S40 S47 S54 S61 S68 W12 W5 W19 W26 W33 W40 W47 W54 W61 W68 C40 AY47 G12 AA68 AA61 AA54 AA47 AI19 C19 AY12 AY68 C26 AY40 AY61 AY54 AA12 AA33 AA40 AY33 AI12 AE54 AI47 AM5 AM61 AM54 AM47 AM40 AM33 AM26 AM19 AM12 AM68 AA26 AQ61 AQ54 AQ47 AQ40 AQ33 AQ26 AQ19 AQ12 AQ68 AY5 AU61 AU54 AU47 AU40 AU33 AU26 AU19 AI5 AI61 AI54 AI40 AI33 AI68 K19 K12 K5 K26">
      <formula1>'6755_coolers'!A2:A137</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sheetPr codeName="Sheet91">
    <tabColor rgb="FFFF0000"/>
  </sheetPr>
  <dimension ref="A1:BA124"/>
  <sheetViews>
    <sheetView zoomScale="90" zoomScaleNormal="90" workbookViewId="0">
      <selection activeCell="AA19" sqref="AA19"/>
    </sheetView>
  </sheetViews>
  <sheetFormatPr defaultRowHeight="14.2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9.140625" style="7"/>
    <col min="54" max="16384" width="9.140625" style="1"/>
  </cols>
  <sheetData>
    <row r="1" spans="1:53" ht="57.75" customHeight="1">
      <c r="A1" s="1" t="s">
        <v>182</v>
      </c>
      <c r="B1" s="2" t="s">
        <v>35</v>
      </c>
      <c r="C1" s="3" t="s">
        <v>23</v>
      </c>
      <c r="D1" s="4" t="s">
        <v>36</v>
      </c>
      <c r="E1" s="5"/>
      <c r="F1" s="2" t="s">
        <v>35</v>
      </c>
      <c r="G1" s="3" t="s">
        <v>24</v>
      </c>
      <c r="H1" s="4" t="s">
        <v>36</v>
      </c>
      <c r="I1" s="5"/>
      <c r="J1" s="2" t="s">
        <v>35</v>
      </c>
      <c r="K1" s="3" t="s">
        <v>25</v>
      </c>
      <c r="L1" s="4" t="s">
        <v>36</v>
      </c>
      <c r="M1" s="6"/>
      <c r="N1" s="2" t="s">
        <v>35</v>
      </c>
      <c r="O1" s="3" t="s">
        <v>26</v>
      </c>
      <c r="P1" s="4" t="s">
        <v>36</v>
      </c>
      <c r="Q1" s="6"/>
      <c r="R1" s="2" t="s">
        <v>35</v>
      </c>
      <c r="S1" s="3" t="s">
        <v>34</v>
      </c>
      <c r="T1" s="4" t="s">
        <v>36</v>
      </c>
      <c r="U1" s="6"/>
      <c r="V1" s="2" t="s">
        <v>35</v>
      </c>
      <c r="W1" s="3" t="s">
        <v>27</v>
      </c>
      <c r="X1" s="4" t="s">
        <v>36</v>
      </c>
      <c r="Y1" s="6"/>
      <c r="Z1" s="2" t="s">
        <v>35</v>
      </c>
      <c r="AA1" s="3" t="s">
        <v>68</v>
      </c>
      <c r="AB1" s="4" t="s">
        <v>36</v>
      </c>
      <c r="AC1" s="6"/>
      <c r="AD1" s="2" t="s">
        <v>35</v>
      </c>
      <c r="AE1" s="3" t="s">
        <v>69</v>
      </c>
      <c r="AF1" s="4" t="s">
        <v>36</v>
      </c>
      <c r="AG1" s="6"/>
      <c r="AH1" s="2" t="s">
        <v>35</v>
      </c>
      <c r="AI1" s="3" t="s">
        <v>132</v>
      </c>
      <c r="AJ1" s="4" t="s">
        <v>36</v>
      </c>
      <c r="AK1" s="6"/>
      <c r="AL1" s="2" t="s">
        <v>35</v>
      </c>
      <c r="AM1" s="3" t="s">
        <v>128</v>
      </c>
      <c r="AN1" s="4" t="s">
        <v>36</v>
      </c>
      <c r="AO1" s="6"/>
      <c r="AP1" s="2" t="s">
        <v>35</v>
      </c>
      <c r="AQ1" s="3" t="s">
        <v>233</v>
      </c>
      <c r="AR1" s="4" t="s">
        <v>36</v>
      </c>
      <c r="AS1" s="6"/>
      <c r="AT1" s="2" t="s">
        <v>35</v>
      </c>
      <c r="AU1" s="3" t="s">
        <v>234</v>
      </c>
      <c r="AV1" s="4" t="s">
        <v>36</v>
      </c>
      <c r="AW1" s="6"/>
      <c r="AX1" s="2" t="s">
        <v>35</v>
      </c>
      <c r="AY1" s="3" t="s">
        <v>129</v>
      </c>
      <c r="AZ1" s="4" t="s">
        <v>36</v>
      </c>
      <c r="BA1" s="51"/>
    </row>
    <row r="2" spans="1:53" ht="30.75" customHeight="1">
      <c r="B2" s="2" t="s">
        <v>9</v>
      </c>
      <c r="C2" s="3">
        <v>2</v>
      </c>
      <c r="D2" s="8"/>
      <c r="E2" s="9"/>
      <c r="F2" s="2" t="s">
        <v>9</v>
      </c>
      <c r="G2" s="3">
        <v>1</v>
      </c>
      <c r="H2" s="8"/>
      <c r="I2" s="10"/>
      <c r="J2" s="2" t="s">
        <v>9</v>
      </c>
      <c r="K2" s="3">
        <v>1</v>
      </c>
      <c r="L2" s="8"/>
      <c r="M2" s="10"/>
      <c r="N2" s="2" t="s">
        <v>9</v>
      </c>
      <c r="O2" s="3">
        <v>1</v>
      </c>
      <c r="P2" s="8"/>
      <c r="Q2" s="10"/>
      <c r="R2" s="2" t="s">
        <v>9</v>
      </c>
      <c r="S2" s="3">
        <v>1</v>
      </c>
      <c r="T2" s="8"/>
      <c r="U2" s="10"/>
      <c r="V2" s="2" t="s">
        <v>9</v>
      </c>
      <c r="W2" s="3">
        <v>1</v>
      </c>
      <c r="X2" s="8"/>
      <c r="Y2" s="10"/>
      <c r="Z2" s="2" t="s">
        <v>9</v>
      </c>
      <c r="AA2" s="3">
        <v>3</v>
      </c>
      <c r="AB2" s="8"/>
      <c r="AC2" s="10"/>
      <c r="AD2" s="2" t="s">
        <v>9</v>
      </c>
      <c r="AE2" s="3">
        <v>1</v>
      </c>
      <c r="AF2" s="8"/>
      <c r="AG2" s="10"/>
      <c r="AH2" s="2" t="s">
        <v>9</v>
      </c>
      <c r="AI2" s="3">
        <v>7</v>
      </c>
      <c r="AJ2" s="46"/>
      <c r="AK2" s="10"/>
      <c r="AL2" s="2" t="s">
        <v>9</v>
      </c>
      <c r="AM2" s="3">
        <v>0</v>
      </c>
      <c r="AN2" s="8"/>
      <c r="AO2" s="10"/>
      <c r="AP2" s="2" t="s">
        <v>9</v>
      </c>
      <c r="AQ2" s="3">
        <v>0</v>
      </c>
      <c r="AR2" s="8"/>
      <c r="AS2" s="10"/>
      <c r="AT2" s="2" t="s">
        <v>9</v>
      </c>
      <c r="AU2" s="3">
        <v>0</v>
      </c>
      <c r="AV2" s="8"/>
      <c r="AW2" s="10"/>
      <c r="AX2" s="2" t="s">
        <v>9</v>
      </c>
      <c r="AY2" s="3">
        <v>0</v>
      </c>
      <c r="AZ2" s="8"/>
      <c r="BA2" s="51"/>
    </row>
    <row r="3" spans="1:53" ht="15" customHeight="1">
      <c r="A3" s="11"/>
      <c r="B3" s="12" t="s">
        <v>7</v>
      </c>
      <c r="C3" s="13">
        <v>117000</v>
      </c>
      <c r="D3" s="14"/>
      <c r="E3" s="9"/>
      <c r="F3" s="12" t="s">
        <v>7</v>
      </c>
      <c r="G3" s="13">
        <v>145000</v>
      </c>
      <c r="H3" s="14"/>
      <c r="I3" s="10"/>
      <c r="J3" s="12" t="s">
        <v>7</v>
      </c>
      <c r="K3" s="13">
        <v>60000</v>
      </c>
      <c r="L3" s="14"/>
      <c r="M3" s="10"/>
      <c r="N3" s="12" t="s">
        <v>7</v>
      </c>
      <c r="O3" s="13">
        <v>120000</v>
      </c>
      <c r="P3" s="14"/>
      <c r="Q3" s="10"/>
      <c r="R3" s="12" t="s">
        <v>7</v>
      </c>
      <c r="S3" s="13">
        <v>117000</v>
      </c>
      <c r="T3" s="14"/>
      <c r="U3" s="10"/>
      <c r="V3" s="12" t="s">
        <v>7</v>
      </c>
      <c r="W3" s="13">
        <v>120000</v>
      </c>
      <c r="X3" s="14"/>
      <c r="Y3" s="10"/>
      <c r="Z3" s="12" t="s">
        <v>7</v>
      </c>
      <c r="AA3" s="13">
        <v>100000</v>
      </c>
      <c r="AB3" s="14"/>
      <c r="AC3" s="10"/>
      <c r="AD3" s="12" t="s">
        <v>7</v>
      </c>
      <c r="AE3" s="13">
        <v>120000</v>
      </c>
      <c r="AF3" s="14"/>
      <c r="AG3" s="10"/>
      <c r="AH3" s="12" t="s">
        <v>7</v>
      </c>
      <c r="AI3" s="13">
        <v>120000</v>
      </c>
      <c r="AJ3" s="43"/>
      <c r="AK3" s="10"/>
      <c r="AL3" s="12" t="s">
        <v>7</v>
      </c>
      <c r="AM3" s="13">
        <v>0</v>
      </c>
      <c r="AN3" s="14"/>
      <c r="AO3" s="10"/>
      <c r="AP3" s="12" t="s">
        <v>7</v>
      </c>
      <c r="AQ3" s="13">
        <v>0</v>
      </c>
      <c r="AR3" s="14"/>
      <c r="AS3" s="10"/>
      <c r="AT3" s="12" t="s">
        <v>7</v>
      </c>
      <c r="AU3" s="13">
        <v>0</v>
      </c>
      <c r="AV3" s="14"/>
      <c r="AW3" s="10"/>
      <c r="AX3" s="12" t="s">
        <v>7</v>
      </c>
      <c r="AY3" s="13">
        <v>0</v>
      </c>
      <c r="AZ3" s="14"/>
      <c r="BA3" s="51"/>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15">
        <v>0</v>
      </c>
      <c r="AJ4" s="43"/>
      <c r="AK4" s="10"/>
      <c r="AL4" s="12" t="s">
        <v>6</v>
      </c>
      <c r="AM4" s="15">
        <v>0</v>
      </c>
      <c r="AN4" s="14"/>
      <c r="AO4" s="10"/>
      <c r="AP4" s="12" t="s">
        <v>6</v>
      </c>
      <c r="AQ4" s="15">
        <v>0</v>
      </c>
      <c r="AR4" s="14"/>
      <c r="AS4" s="10"/>
      <c r="AT4" s="12" t="s">
        <v>6</v>
      </c>
      <c r="AU4" s="15">
        <v>0</v>
      </c>
      <c r="AV4" s="14"/>
      <c r="AW4" s="10"/>
      <c r="AX4" s="12" t="s">
        <v>6</v>
      </c>
      <c r="AY4" s="15">
        <v>0</v>
      </c>
      <c r="AZ4" s="14"/>
      <c r="BA4" s="51"/>
    </row>
    <row r="5" spans="1:53" ht="15" customHeight="1">
      <c r="A5" s="11"/>
      <c r="B5" s="12" t="s">
        <v>5</v>
      </c>
      <c r="C5" s="13" t="s">
        <v>15</v>
      </c>
      <c r="D5" s="14"/>
      <c r="E5" s="9"/>
      <c r="F5" s="12" t="s">
        <v>5</v>
      </c>
      <c r="G5" s="13" t="s">
        <v>1</v>
      </c>
      <c r="H5" s="14"/>
      <c r="I5" s="10"/>
      <c r="J5" s="12" t="s">
        <v>5</v>
      </c>
      <c r="K5" s="13" t="s">
        <v>2</v>
      </c>
      <c r="L5" s="14"/>
      <c r="M5" s="10"/>
      <c r="N5" s="12" t="s">
        <v>5</v>
      </c>
      <c r="O5" s="13" t="s">
        <v>3</v>
      </c>
      <c r="P5" s="14"/>
      <c r="Q5" s="10"/>
      <c r="R5" s="12" t="s">
        <v>5</v>
      </c>
      <c r="S5" s="13" t="s">
        <v>0</v>
      </c>
      <c r="T5" s="14"/>
      <c r="U5" s="10"/>
      <c r="V5" s="12" t="s">
        <v>5</v>
      </c>
      <c r="W5" s="13" t="s">
        <v>16</v>
      </c>
      <c r="X5" s="14"/>
      <c r="Y5" s="10"/>
      <c r="Z5" s="12" t="s">
        <v>5</v>
      </c>
      <c r="AA5" s="13" t="s">
        <v>17</v>
      </c>
      <c r="AB5" s="14"/>
      <c r="AC5" s="10"/>
      <c r="AD5" s="12" t="s">
        <v>5</v>
      </c>
      <c r="AE5" s="13" t="s">
        <v>108</v>
      </c>
      <c r="AF5" s="14"/>
      <c r="AG5" s="10"/>
      <c r="AH5" s="12" t="s">
        <v>5</v>
      </c>
      <c r="AI5" s="13" t="s">
        <v>108</v>
      </c>
      <c r="AJ5" s="43"/>
      <c r="AK5" s="10"/>
      <c r="AL5" s="12" t="s">
        <v>5</v>
      </c>
      <c r="AM5" s="13" t="s">
        <v>4</v>
      </c>
      <c r="AN5" s="14"/>
      <c r="AO5" s="10"/>
      <c r="AP5" s="12" t="s">
        <v>5</v>
      </c>
      <c r="AQ5" s="13" t="s">
        <v>4</v>
      </c>
      <c r="AR5" s="14"/>
      <c r="AS5" s="10"/>
      <c r="AT5" s="12" t="s">
        <v>5</v>
      </c>
      <c r="AU5" s="13" t="s">
        <v>4</v>
      </c>
      <c r="AV5" s="14"/>
      <c r="AW5" s="10"/>
      <c r="AX5" s="12" t="s">
        <v>5</v>
      </c>
      <c r="AY5" s="13" t="s">
        <v>4</v>
      </c>
      <c r="AZ5" s="14"/>
      <c r="BA5" s="51"/>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4">
        <v>0</v>
      </c>
      <c r="AG6" s="10"/>
      <c r="AH6" s="12" t="s">
        <v>11</v>
      </c>
      <c r="AI6" s="15" t="s">
        <v>13</v>
      </c>
      <c r="AJ6" s="15">
        <v>0</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s="51"/>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s="51"/>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s="51"/>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s="51"/>
    </row>
    <row r="10" spans="1:53" ht="15" customHeight="1">
      <c r="A10" s="11"/>
      <c r="B10" s="12" t="s">
        <v>7</v>
      </c>
      <c r="C10" s="44">
        <v>68000</v>
      </c>
      <c r="D10" s="14"/>
      <c r="E10" s="10"/>
      <c r="F10" s="12" t="s">
        <v>7</v>
      </c>
      <c r="G10" s="13">
        <v>0</v>
      </c>
      <c r="H10" s="14"/>
      <c r="I10" s="10"/>
      <c r="J10" s="12" t="s">
        <v>7</v>
      </c>
      <c r="K10" s="13">
        <v>0</v>
      </c>
      <c r="L10" s="14"/>
      <c r="M10" s="10"/>
      <c r="N10" s="12" t="s">
        <v>7</v>
      </c>
      <c r="O10" s="13">
        <v>0</v>
      </c>
      <c r="P10" s="14"/>
      <c r="Q10" s="10"/>
      <c r="R10" s="12" t="s">
        <v>7</v>
      </c>
      <c r="S10" s="13">
        <v>0</v>
      </c>
      <c r="T10" s="14"/>
      <c r="U10" s="10"/>
      <c r="V10" s="12" t="s">
        <v>7</v>
      </c>
      <c r="W10" s="13">
        <v>0</v>
      </c>
      <c r="X10" s="14"/>
      <c r="Y10" s="10"/>
      <c r="Z10" s="12" t="s">
        <v>7</v>
      </c>
      <c r="AA10" s="50">
        <v>90000</v>
      </c>
      <c r="AB10" s="14"/>
      <c r="AC10" s="10"/>
      <c r="AD10" s="12" t="s">
        <v>7</v>
      </c>
      <c r="AE10" s="13">
        <v>0</v>
      </c>
      <c r="AF10" s="14"/>
      <c r="AG10" s="10"/>
      <c r="AH10" s="12" t="s">
        <v>7</v>
      </c>
      <c r="AI10" s="44">
        <v>85000</v>
      </c>
      <c r="AJ10" s="14"/>
      <c r="AK10" s="10"/>
      <c r="AL10" s="12" t="s">
        <v>7</v>
      </c>
      <c r="AM10" s="13">
        <v>0</v>
      </c>
      <c r="AN10" s="14"/>
      <c r="AO10" s="10"/>
      <c r="AP10" s="12" t="s">
        <v>7</v>
      </c>
      <c r="AQ10" s="13">
        <v>0</v>
      </c>
      <c r="AR10" s="14"/>
      <c r="AS10" s="10"/>
      <c r="AT10" s="12" t="s">
        <v>7</v>
      </c>
      <c r="AU10" s="13">
        <v>0</v>
      </c>
      <c r="AV10" s="14"/>
      <c r="AW10" s="10"/>
      <c r="AX10" s="12" t="s">
        <v>7</v>
      </c>
      <c r="AY10" s="13">
        <v>0</v>
      </c>
      <c r="AZ10" s="14"/>
      <c r="BA10" s="51"/>
    </row>
    <row r="11" spans="1:53" ht="15" customHeight="1">
      <c r="A11" s="11"/>
      <c r="B11" s="12" t="s">
        <v>6</v>
      </c>
      <c r="C11" s="15">
        <v>0</v>
      </c>
      <c r="D11" s="14"/>
      <c r="E11" s="10"/>
      <c r="F11" s="12" t="s">
        <v>6</v>
      </c>
      <c r="G11" s="15">
        <v>0</v>
      </c>
      <c r="H11" s="14"/>
      <c r="I11" s="10"/>
      <c r="J11" s="12" t="s">
        <v>6</v>
      </c>
      <c r="K11" s="15">
        <v>0</v>
      </c>
      <c r="L11" s="14"/>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15">
        <v>0</v>
      </c>
      <c r="AJ11" s="14"/>
      <c r="AK11" s="10"/>
      <c r="AL11" s="12" t="s">
        <v>6</v>
      </c>
      <c r="AM11" s="15">
        <v>0</v>
      </c>
      <c r="AN11" s="14"/>
      <c r="AO11" s="10"/>
      <c r="AP11" s="12" t="s">
        <v>6</v>
      </c>
      <c r="AQ11" s="15">
        <v>0</v>
      </c>
      <c r="AR11" s="14"/>
      <c r="AS11" s="10"/>
      <c r="AT11" s="12" t="s">
        <v>6</v>
      </c>
      <c r="AU11" s="15">
        <v>0</v>
      </c>
      <c r="AV11" s="14"/>
      <c r="AW11" s="10"/>
      <c r="AX11" s="12" t="s">
        <v>6</v>
      </c>
      <c r="AY11" s="15">
        <v>0</v>
      </c>
      <c r="AZ11" s="14"/>
      <c r="BA11" s="51"/>
    </row>
    <row r="12" spans="1:53" ht="15" customHeight="1">
      <c r="A12" s="11"/>
      <c r="B12" s="12" t="s">
        <v>5</v>
      </c>
      <c r="C12" s="13" t="s">
        <v>51</v>
      </c>
      <c r="D12" s="14"/>
      <c r="E12" s="10"/>
      <c r="F12" s="12" t="s">
        <v>5</v>
      </c>
      <c r="G12" s="13" t="s">
        <v>4</v>
      </c>
      <c r="H12" s="14"/>
      <c r="I12" s="10"/>
      <c r="J12" s="12" t="s">
        <v>5</v>
      </c>
      <c r="K12" s="13" t="s">
        <v>4</v>
      </c>
      <c r="L12" s="14"/>
      <c r="M12" s="10"/>
      <c r="N12" s="12" t="s">
        <v>5</v>
      </c>
      <c r="O12" s="13" t="s">
        <v>4</v>
      </c>
      <c r="P12" s="14"/>
      <c r="Q12" s="10"/>
      <c r="R12" s="12" t="s">
        <v>5</v>
      </c>
      <c r="S12" s="13" t="s">
        <v>4</v>
      </c>
      <c r="T12" s="14"/>
      <c r="U12" s="10"/>
      <c r="V12" s="12" t="s">
        <v>5</v>
      </c>
      <c r="W12" s="13" t="s">
        <v>4</v>
      </c>
      <c r="X12" s="14"/>
      <c r="Y12" s="10"/>
      <c r="Z12" s="12" t="s">
        <v>5</v>
      </c>
      <c r="AA12" s="50" t="s">
        <v>107</v>
      </c>
      <c r="AB12" s="14"/>
      <c r="AC12" s="10"/>
      <c r="AD12" s="12" t="s">
        <v>5</v>
      </c>
      <c r="AE12" s="13" t="s">
        <v>4</v>
      </c>
      <c r="AF12" s="14"/>
      <c r="AG12" s="10"/>
      <c r="AH12" s="12" t="s">
        <v>5</v>
      </c>
      <c r="AI12" s="54" t="s">
        <v>253</v>
      </c>
      <c r="AJ12" s="14"/>
      <c r="AK12" s="10"/>
      <c r="AL12" s="12" t="s">
        <v>5</v>
      </c>
      <c r="AM12" s="13" t="s">
        <v>4</v>
      </c>
      <c r="AN12" s="14"/>
      <c r="AO12" s="10"/>
      <c r="AP12" s="12" t="s">
        <v>5</v>
      </c>
      <c r="AQ12" s="13" t="s">
        <v>4</v>
      </c>
      <c r="AR12" s="14"/>
      <c r="AS12" s="10"/>
      <c r="AT12" s="12" t="s">
        <v>5</v>
      </c>
      <c r="AU12" s="13" t="s">
        <v>4</v>
      </c>
      <c r="AV12" s="14"/>
      <c r="AW12" s="10"/>
      <c r="AX12" s="12" t="s">
        <v>5</v>
      </c>
      <c r="AY12" s="13" t="s">
        <v>4</v>
      </c>
      <c r="AZ12" s="14"/>
      <c r="BA12" s="51"/>
    </row>
    <row r="13" spans="1:53" ht="15" customHeight="1">
      <c r="A13" s="11"/>
      <c r="B13" s="12" t="s">
        <v>11</v>
      </c>
      <c r="C13" s="15" t="s">
        <v>131</v>
      </c>
      <c r="D13" s="14">
        <v>6000</v>
      </c>
      <c r="E13" s="9"/>
      <c r="F13" s="12" t="s">
        <v>11</v>
      </c>
      <c r="G13" s="15" t="s">
        <v>13</v>
      </c>
      <c r="H13" s="14">
        <v>0</v>
      </c>
      <c r="I13" s="10"/>
      <c r="J13" s="12" t="s">
        <v>11</v>
      </c>
      <c r="K13" s="15" t="s">
        <v>13</v>
      </c>
      <c r="L13" s="14">
        <v>0</v>
      </c>
      <c r="M13" s="10"/>
      <c r="N13" s="12" t="s">
        <v>11</v>
      </c>
      <c r="O13" s="15" t="s">
        <v>13</v>
      </c>
      <c r="P13" s="14">
        <v>0</v>
      </c>
      <c r="Q13" s="10"/>
      <c r="R13" s="12" t="s">
        <v>11</v>
      </c>
      <c r="S13" s="15" t="s">
        <v>13</v>
      </c>
      <c r="T13" s="14">
        <v>0</v>
      </c>
      <c r="U13" s="10"/>
      <c r="V13" s="12" t="s">
        <v>11</v>
      </c>
      <c r="W13" s="15" t="s">
        <v>13</v>
      </c>
      <c r="X13" s="14">
        <v>0</v>
      </c>
      <c r="Y13" s="10"/>
      <c r="Z13" s="12" t="s">
        <v>11</v>
      </c>
      <c r="AA13" s="15" t="s">
        <v>13</v>
      </c>
      <c r="AB13" s="14">
        <v>0</v>
      </c>
      <c r="AC13" s="10"/>
      <c r="AD13" s="12" t="s">
        <v>11</v>
      </c>
      <c r="AE13" s="15" t="s">
        <v>13</v>
      </c>
      <c r="AF13" s="14">
        <v>0</v>
      </c>
      <c r="AG13" s="10"/>
      <c r="AH13" s="12" t="s">
        <v>11</v>
      </c>
      <c r="AI13" s="54" t="s">
        <v>131</v>
      </c>
      <c r="AJ13" s="55">
        <v>2000</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s="51"/>
    </row>
    <row r="14" spans="1:53" ht="15" customHeight="1">
      <c r="A14" s="11"/>
      <c r="B14" s="12" t="s">
        <v>12</v>
      </c>
      <c r="C14" s="15" t="s">
        <v>13</v>
      </c>
      <c r="D14" s="14">
        <v>0</v>
      </c>
      <c r="E14" s="9"/>
      <c r="F14" s="12" t="s">
        <v>12</v>
      </c>
      <c r="G14" s="15" t="s">
        <v>13</v>
      </c>
      <c r="H14" s="14">
        <v>0</v>
      </c>
      <c r="I14" s="10"/>
      <c r="J14" s="12" t="s">
        <v>12</v>
      </c>
      <c r="K14" s="15" t="s">
        <v>13</v>
      </c>
      <c r="L14" s="14">
        <v>0</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6">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s="51"/>
    </row>
    <row r="15" spans="1:53" ht="15" customHeight="1">
      <c r="A15" s="11"/>
      <c r="B15" s="12" t="s">
        <v>14</v>
      </c>
      <c r="C15" s="15" t="s">
        <v>13</v>
      </c>
      <c r="D15" s="14">
        <v>0</v>
      </c>
      <c r="E15" s="9"/>
      <c r="F15" s="12" t="s">
        <v>14</v>
      </c>
      <c r="G15" s="15" t="s">
        <v>13</v>
      </c>
      <c r="H15" s="14">
        <v>0</v>
      </c>
      <c r="I15" s="10"/>
      <c r="J15" s="12" t="s">
        <v>14</v>
      </c>
      <c r="K15" s="15" t="s">
        <v>13</v>
      </c>
      <c r="L15" s="14">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s="51"/>
    </row>
    <row r="16" spans="1:53" s="20" customFormat="1" ht="5.0999999999999996" customHeight="1">
      <c r="A16" s="17"/>
      <c r="B16" s="18"/>
      <c r="C16" s="18"/>
      <c r="D16" s="18"/>
      <c r="E16" s="19"/>
      <c r="F16" s="18"/>
      <c r="G16" s="18"/>
      <c r="H16" s="18"/>
      <c r="I16" s="19"/>
      <c r="J16" s="18"/>
      <c r="K16" s="56"/>
      <c r="L16" s="56"/>
      <c r="M16" s="19"/>
      <c r="N16" s="18"/>
      <c r="O16" s="18"/>
      <c r="P16" s="18"/>
      <c r="Q16" s="19"/>
      <c r="R16" s="18"/>
      <c r="S16" s="18"/>
      <c r="T16" s="18"/>
      <c r="U16" s="19"/>
      <c r="V16" s="18"/>
      <c r="W16" s="18"/>
      <c r="X16" s="18"/>
      <c r="Y16" s="19"/>
      <c r="Z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s="51"/>
    </row>
    <row r="17" spans="1:53" ht="15" customHeight="1">
      <c r="A17" s="11"/>
      <c r="B17" s="12" t="s">
        <v>7</v>
      </c>
      <c r="C17" s="13">
        <v>0</v>
      </c>
      <c r="D17" s="14"/>
      <c r="E17" s="10"/>
      <c r="F17" s="12" t="s">
        <v>7</v>
      </c>
      <c r="G17" s="13">
        <v>0</v>
      </c>
      <c r="H17" s="14"/>
      <c r="I17" s="10"/>
      <c r="J17" s="12" t="s">
        <v>7</v>
      </c>
      <c r="K17" s="13">
        <v>0</v>
      </c>
      <c r="L17" s="14"/>
      <c r="M17" s="10"/>
      <c r="N17" s="12" t="s">
        <v>7</v>
      </c>
      <c r="O17" s="13">
        <v>0</v>
      </c>
      <c r="P17" s="14"/>
      <c r="Q17" s="10"/>
      <c r="R17" s="12" t="s">
        <v>7</v>
      </c>
      <c r="S17" s="13">
        <v>0</v>
      </c>
      <c r="T17" s="14"/>
      <c r="U17" s="10"/>
      <c r="V17" s="12" t="s">
        <v>7</v>
      </c>
      <c r="W17" s="13">
        <v>0</v>
      </c>
      <c r="X17" s="14"/>
      <c r="Y17" s="10"/>
      <c r="Z17" s="12" t="s">
        <v>7</v>
      </c>
      <c r="AA17" s="58">
        <v>57000</v>
      </c>
      <c r="AB17" s="14"/>
      <c r="AC17" s="10"/>
      <c r="AD17" s="12" t="s">
        <v>7</v>
      </c>
      <c r="AE17" s="13">
        <v>0</v>
      </c>
      <c r="AF17" s="14"/>
      <c r="AG17" s="10"/>
      <c r="AH17" s="12" t="s">
        <v>7</v>
      </c>
      <c r="AI17" s="54">
        <v>75000</v>
      </c>
      <c r="AJ17" s="14"/>
      <c r="AK17" s="10"/>
      <c r="AL17" s="12" t="s">
        <v>7</v>
      </c>
      <c r="AM17" s="13">
        <v>0</v>
      </c>
      <c r="AN17" s="14"/>
      <c r="AO17" s="10"/>
      <c r="AP17" s="12" t="s">
        <v>7</v>
      </c>
      <c r="AQ17" s="13">
        <v>0</v>
      </c>
      <c r="AR17" s="14"/>
      <c r="AS17" s="10"/>
      <c r="AT17" s="12" t="s">
        <v>7</v>
      </c>
      <c r="AU17" s="13">
        <v>0</v>
      </c>
      <c r="AV17" s="14"/>
      <c r="AW17" s="10"/>
      <c r="AX17" s="12" t="s">
        <v>7</v>
      </c>
      <c r="AY17" s="13">
        <v>0</v>
      </c>
      <c r="AZ17" s="14"/>
      <c r="BA17" s="51"/>
    </row>
    <row r="18" spans="1:53" ht="15" customHeight="1">
      <c r="A18" s="11"/>
      <c r="B18" s="12" t="s">
        <v>6</v>
      </c>
      <c r="C18" s="15">
        <v>0</v>
      </c>
      <c r="D18" s="14"/>
      <c r="E18" s="10"/>
      <c r="F18" s="12" t="s">
        <v>6</v>
      </c>
      <c r="G18" s="15">
        <v>0</v>
      </c>
      <c r="H18" s="14"/>
      <c r="I18" s="10"/>
      <c r="J18" s="12" t="s">
        <v>6</v>
      </c>
      <c r="K18" s="15">
        <v>0</v>
      </c>
      <c r="L18" s="14"/>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15">
        <v>0</v>
      </c>
      <c r="AJ18" s="14"/>
      <c r="AK18" s="10"/>
      <c r="AL18" s="12" t="s">
        <v>6</v>
      </c>
      <c r="AM18" s="15">
        <v>0</v>
      </c>
      <c r="AN18" s="14"/>
      <c r="AO18" s="10"/>
      <c r="AP18" s="12" t="s">
        <v>6</v>
      </c>
      <c r="AQ18" s="15">
        <v>0</v>
      </c>
      <c r="AR18" s="14"/>
      <c r="AS18" s="10"/>
      <c r="AT18" s="12" t="s">
        <v>6</v>
      </c>
      <c r="AU18" s="15">
        <v>0</v>
      </c>
      <c r="AV18" s="14"/>
      <c r="AW18" s="10"/>
      <c r="AX18" s="12" t="s">
        <v>6</v>
      </c>
      <c r="AY18" s="15">
        <v>0</v>
      </c>
      <c r="AZ18" s="14"/>
      <c r="BA18" s="51"/>
    </row>
    <row r="19" spans="1:53" ht="15" customHeight="1">
      <c r="A19" s="11"/>
      <c r="B19" s="12" t="s">
        <v>5</v>
      </c>
      <c r="C19" s="13" t="s">
        <v>4</v>
      </c>
      <c r="D19" s="14"/>
      <c r="E19" s="10"/>
      <c r="F19" s="12" t="s">
        <v>5</v>
      </c>
      <c r="G19" s="13" t="s">
        <v>4</v>
      </c>
      <c r="H19" s="14"/>
      <c r="I19" s="10"/>
      <c r="J19" s="12" t="s">
        <v>5</v>
      </c>
      <c r="K19" s="13" t="s">
        <v>4</v>
      </c>
      <c r="L19" s="14"/>
      <c r="M19" s="10"/>
      <c r="N19" s="12" t="s">
        <v>5</v>
      </c>
      <c r="O19" s="13" t="s">
        <v>4</v>
      </c>
      <c r="P19" s="14"/>
      <c r="Q19" s="10"/>
      <c r="R19" s="12" t="s">
        <v>5</v>
      </c>
      <c r="S19" s="13" t="s">
        <v>4</v>
      </c>
      <c r="T19" s="14"/>
      <c r="U19" s="10"/>
      <c r="V19" s="12" t="s">
        <v>5</v>
      </c>
      <c r="W19" s="13" t="s">
        <v>4</v>
      </c>
      <c r="X19" s="14"/>
      <c r="Y19" s="10"/>
      <c r="Z19" s="12" t="s">
        <v>5</v>
      </c>
      <c r="AA19" s="58" t="s">
        <v>265</v>
      </c>
      <c r="AB19" s="14"/>
      <c r="AC19" s="10"/>
      <c r="AD19" s="12" t="s">
        <v>5</v>
      </c>
      <c r="AE19" s="13" t="s">
        <v>4</v>
      </c>
      <c r="AF19" s="14"/>
      <c r="AG19" s="10"/>
      <c r="AH19" s="12" t="s">
        <v>5</v>
      </c>
      <c r="AI19" s="54" t="s">
        <v>251</v>
      </c>
      <c r="AJ19" s="14"/>
      <c r="AK19" s="10"/>
      <c r="AL19" s="12" t="s">
        <v>5</v>
      </c>
      <c r="AM19" s="13" t="s">
        <v>4</v>
      </c>
      <c r="AN19" s="14"/>
      <c r="AO19" s="10"/>
      <c r="AP19" s="12" t="s">
        <v>5</v>
      </c>
      <c r="AQ19" s="13" t="s">
        <v>4</v>
      </c>
      <c r="AR19" s="14"/>
      <c r="AS19" s="10"/>
      <c r="AT19" s="12" t="s">
        <v>5</v>
      </c>
      <c r="AU19" s="13" t="s">
        <v>4</v>
      </c>
      <c r="AV19" s="14"/>
      <c r="AW19" s="10"/>
      <c r="AX19" s="12" t="s">
        <v>5</v>
      </c>
      <c r="AY19" s="13" t="s">
        <v>4</v>
      </c>
      <c r="AZ19" s="14"/>
      <c r="BA19" s="51"/>
    </row>
    <row r="20" spans="1:53" ht="15" customHeight="1">
      <c r="A20" s="11"/>
      <c r="B20" s="12" t="s">
        <v>11</v>
      </c>
      <c r="C20" s="15" t="s">
        <v>13</v>
      </c>
      <c r="D20" s="43">
        <v>0</v>
      </c>
      <c r="E20" s="9"/>
      <c r="F20" s="12" t="s">
        <v>11</v>
      </c>
      <c r="G20" s="15" t="s">
        <v>13</v>
      </c>
      <c r="H20" s="14">
        <v>0</v>
      </c>
      <c r="I20" s="10"/>
      <c r="J20" s="12" t="s">
        <v>11</v>
      </c>
      <c r="K20" s="15" t="s">
        <v>13</v>
      </c>
      <c r="L20" s="14">
        <v>0</v>
      </c>
      <c r="M20" s="10"/>
      <c r="N20" s="12" t="s">
        <v>11</v>
      </c>
      <c r="O20" s="15" t="s">
        <v>13</v>
      </c>
      <c r="P20" s="14">
        <v>0</v>
      </c>
      <c r="Q20" s="10"/>
      <c r="R20" s="12" t="s">
        <v>11</v>
      </c>
      <c r="S20" s="15" t="s">
        <v>13</v>
      </c>
      <c r="T20" s="14">
        <v>0</v>
      </c>
      <c r="U20" s="10"/>
      <c r="V20" s="12" t="s">
        <v>11</v>
      </c>
      <c r="W20" s="15" t="s">
        <v>13</v>
      </c>
      <c r="X20" s="14">
        <v>0</v>
      </c>
      <c r="Y20" s="10"/>
      <c r="Z20" s="12" t="s">
        <v>11</v>
      </c>
      <c r="AA20" s="59" t="s">
        <v>131</v>
      </c>
      <c r="AB20" s="60">
        <v>5000</v>
      </c>
      <c r="AC20" s="10"/>
      <c r="AD20" s="12" t="s">
        <v>11</v>
      </c>
      <c r="AE20" s="15" t="s">
        <v>13</v>
      </c>
      <c r="AF20" s="14">
        <v>0</v>
      </c>
      <c r="AG20" s="10"/>
      <c r="AH20" s="12" t="s">
        <v>11</v>
      </c>
      <c r="AI20" s="54" t="s">
        <v>131</v>
      </c>
      <c r="AJ20" s="55">
        <v>2000</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s="51"/>
    </row>
    <row r="21" spans="1:53" ht="15" customHeight="1">
      <c r="A21" s="11"/>
      <c r="B21" s="12" t="s">
        <v>12</v>
      </c>
      <c r="C21" s="15" t="s">
        <v>13</v>
      </c>
      <c r="D21" s="14">
        <v>0</v>
      </c>
      <c r="E21" s="9"/>
      <c r="F21" s="12" t="s">
        <v>12</v>
      </c>
      <c r="G21" s="15" t="s">
        <v>13</v>
      </c>
      <c r="H21" s="14">
        <v>0</v>
      </c>
      <c r="I21" s="10"/>
      <c r="J21" s="12" t="s">
        <v>12</v>
      </c>
      <c r="K21" s="15" t="s">
        <v>13</v>
      </c>
      <c r="L21" s="14">
        <v>0</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15" t="s">
        <v>13</v>
      </c>
      <c r="AJ21" s="55">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s="51"/>
    </row>
    <row r="22" spans="1:53" ht="15" customHeight="1">
      <c r="A22" s="11"/>
      <c r="B22" s="12" t="s">
        <v>14</v>
      </c>
      <c r="C22" s="15" t="s">
        <v>13</v>
      </c>
      <c r="D22" s="14">
        <v>0</v>
      </c>
      <c r="E22" s="9"/>
      <c r="F22" s="12" t="s">
        <v>14</v>
      </c>
      <c r="G22" s="15" t="s">
        <v>13</v>
      </c>
      <c r="H22" s="14">
        <v>0</v>
      </c>
      <c r="I22" s="10"/>
      <c r="J22" s="12" t="s">
        <v>14</v>
      </c>
      <c r="K22" s="15" t="s">
        <v>13</v>
      </c>
      <c r="L22" s="14">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15" t="s">
        <v>13</v>
      </c>
      <c r="AJ22" s="14">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s="51"/>
    </row>
    <row r="23" spans="1:53" s="20" customFormat="1" ht="5.0999999999999996" customHeight="1">
      <c r="A23" s="17"/>
      <c r="B23" s="18"/>
      <c r="C23" s="18"/>
      <c r="D23" s="18"/>
      <c r="E23" s="19"/>
      <c r="F23" s="18"/>
      <c r="G23" s="18"/>
      <c r="H23" s="18"/>
      <c r="I23" s="19"/>
      <c r="J23" s="18"/>
      <c r="K23" s="56"/>
      <c r="L23" s="56"/>
      <c r="M23" s="19"/>
      <c r="N23" s="18"/>
      <c r="O23" s="18"/>
      <c r="P23" s="18"/>
      <c r="Q23" s="19"/>
      <c r="R23" s="18"/>
      <c r="S23" s="18"/>
      <c r="T23" s="18"/>
      <c r="U23" s="19"/>
      <c r="V23" s="18"/>
      <c r="W23" s="18"/>
      <c r="X23" s="18"/>
      <c r="Y23" s="19"/>
      <c r="Z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s="51"/>
    </row>
    <row r="24" spans="1:53" ht="15" customHeight="1">
      <c r="A24" s="11"/>
      <c r="B24" s="12" t="s">
        <v>7</v>
      </c>
      <c r="C24" s="13">
        <v>0</v>
      </c>
      <c r="D24" s="14"/>
      <c r="E24" s="10"/>
      <c r="F24" s="12" t="s">
        <v>7</v>
      </c>
      <c r="G24" s="13">
        <v>0</v>
      </c>
      <c r="H24" s="14"/>
      <c r="I24" s="10"/>
      <c r="J24" s="12" t="s">
        <v>7</v>
      </c>
      <c r="K24" s="13">
        <v>0</v>
      </c>
      <c r="L24" s="14"/>
      <c r="M24" s="10"/>
      <c r="N24" s="12" t="s">
        <v>7</v>
      </c>
      <c r="O24" s="13">
        <v>0</v>
      </c>
      <c r="P24" s="14"/>
      <c r="Q24" s="10"/>
      <c r="R24" s="12" t="s">
        <v>7</v>
      </c>
      <c r="S24" s="13">
        <v>0</v>
      </c>
      <c r="T24" s="14"/>
      <c r="U24" s="10"/>
      <c r="V24" s="12" t="s">
        <v>7</v>
      </c>
      <c r="W24" s="13">
        <v>0</v>
      </c>
      <c r="X24" s="14"/>
      <c r="Y24" s="10"/>
      <c r="Z24" s="12" t="s">
        <v>7</v>
      </c>
      <c r="AA24" s="44">
        <v>50000</v>
      </c>
      <c r="AB24" s="43"/>
      <c r="AC24" s="10"/>
      <c r="AD24" s="12" t="s">
        <v>7</v>
      </c>
      <c r="AE24" s="13">
        <v>0</v>
      </c>
      <c r="AF24" s="14"/>
      <c r="AG24" s="10"/>
      <c r="AH24" s="12" t="s">
        <v>7</v>
      </c>
      <c r="AI24" s="54">
        <v>72000</v>
      </c>
      <c r="AJ24" s="14"/>
      <c r="AK24" s="10"/>
      <c r="AL24" s="12" t="s">
        <v>7</v>
      </c>
      <c r="AM24" s="13">
        <v>0</v>
      </c>
      <c r="AN24" s="14"/>
      <c r="AO24" s="10"/>
      <c r="AP24" s="12" t="s">
        <v>7</v>
      </c>
      <c r="AQ24" s="13">
        <v>0</v>
      </c>
      <c r="AR24" s="14"/>
      <c r="AS24" s="10"/>
      <c r="AT24" s="12" t="s">
        <v>7</v>
      </c>
      <c r="AU24" s="13">
        <v>0</v>
      </c>
      <c r="AV24" s="14"/>
      <c r="AW24" s="10"/>
      <c r="AX24" s="12" t="s">
        <v>7</v>
      </c>
      <c r="AY24" s="13">
        <v>0</v>
      </c>
      <c r="AZ24" s="14"/>
      <c r="BA24" s="51"/>
    </row>
    <row r="25" spans="1:53" ht="15" customHeight="1">
      <c r="A25" s="11"/>
      <c r="B25" s="12" t="s">
        <v>6</v>
      </c>
      <c r="C25" s="15">
        <v>0</v>
      </c>
      <c r="D25" s="14"/>
      <c r="E25" s="10"/>
      <c r="F25" s="12" t="s">
        <v>6</v>
      </c>
      <c r="G25" s="15">
        <v>0</v>
      </c>
      <c r="H25" s="14"/>
      <c r="I25" s="10"/>
      <c r="J25" s="12" t="s">
        <v>6</v>
      </c>
      <c r="K25" s="15">
        <v>0</v>
      </c>
      <c r="L25" s="14"/>
      <c r="M25" s="10"/>
      <c r="N25" s="12" t="s">
        <v>6</v>
      </c>
      <c r="O25" s="15">
        <v>0</v>
      </c>
      <c r="P25" s="14"/>
      <c r="Q25" s="10"/>
      <c r="R25" s="12" t="s">
        <v>6</v>
      </c>
      <c r="S25" s="15">
        <v>0</v>
      </c>
      <c r="T25" s="14"/>
      <c r="U25" s="10"/>
      <c r="V25" s="12" t="s">
        <v>6</v>
      </c>
      <c r="W25" s="15">
        <v>0</v>
      </c>
      <c r="X25" s="14"/>
      <c r="Y25" s="10"/>
      <c r="Z25" s="12" t="s">
        <v>6</v>
      </c>
      <c r="AA25" s="44">
        <v>0</v>
      </c>
      <c r="AB25" s="43"/>
      <c r="AC25" s="10"/>
      <c r="AD25" s="12" t="s">
        <v>6</v>
      </c>
      <c r="AE25" s="15">
        <v>0</v>
      </c>
      <c r="AF25" s="14"/>
      <c r="AG25" s="10"/>
      <c r="AH25" s="12" t="s">
        <v>6</v>
      </c>
      <c r="AI25" s="15">
        <v>0</v>
      </c>
      <c r="AJ25" s="14"/>
      <c r="AK25" s="10"/>
      <c r="AL25" s="12" t="s">
        <v>6</v>
      </c>
      <c r="AM25" s="15">
        <v>0</v>
      </c>
      <c r="AN25" s="14"/>
      <c r="AO25" s="10"/>
      <c r="AP25" s="12" t="s">
        <v>6</v>
      </c>
      <c r="AQ25" s="15">
        <v>0</v>
      </c>
      <c r="AR25" s="14"/>
      <c r="AS25" s="10"/>
      <c r="AT25" s="12" t="s">
        <v>6</v>
      </c>
      <c r="AU25" s="15">
        <v>0</v>
      </c>
      <c r="AV25" s="14"/>
      <c r="AW25" s="10"/>
      <c r="AX25" s="12" t="s">
        <v>6</v>
      </c>
      <c r="AY25" s="15">
        <v>0</v>
      </c>
      <c r="AZ25" s="14"/>
      <c r="BA25" s="51"/>
    </row>
    <row r="26" spans="1:53" ht="15" customHeight="1">
      <c r="A26" s="11"/>
      <c r="B26" s="12" t="s">
        <v>5</v>
      </c>
      <c r="C26" s="13" t="s">
        <v>4</v>
      </c>
      <c r="D26" s="14"/>
      <c r="E26" s="10"/>
      <c r="F26" s="12" t="s">
        <v>5</v>
      </c>
      <c r="G26" s="13" t="s">
        <v>4</v>
      </c>
      <c r="H26" s="14"/>
      <c r="I26" s="10"/>
      <c r="J26" s="12" t="s">
        <v>5</v>
      </c>
      <c r="K26" s="13" t="s">
        <v>4</v>
      </c>
      <c r="L26" s="14"/>
      <c r="M26" s="10"/>
      <c r="N26" s="12" t="s">
        <v>5</v>
      </c>
      <c r="O26" s="13" t="s">
        <v>4</v>
      </c>
      <c r="P26" s="14"/>
      <c r="Q26" s="10"/>
      <c r="R26" s="12" t="s">
        <v>5</v>
      </c>
      <c r="S26" s="13" t="s">
        <v>4</v>
      </c>
      <c r="T26" s="14"/>
      <c r="U26" s="10"/>
      <c r="V26" s="12" t="s">
        <v>5</v>
      </c>
      <c r="W26" s="13" t="s">
        <v>4</v>
      </c>
      <c r="X26" s="14"/>
      <c r="Y26" s="10"/>
      <c r="Z26" s="12" t="s">
        <v>5</v>
      </c>
      <c r="AA26" s="44" t="s">
        <v>113</v>
      </c>
      <c r="AB26" s="43"/>
      <c r="AC26" s="10"/>
      <c r="AD26" s="12" t="s">
        <v>5</v>
      </c>
      <c r="AE26" s="13" t="s">
        <v>4</v>
      </c>
      <c r="AF26" s="14"/>
      <c r="AG26" s="10"/>
      <c r="AH26" s="12" t="s">
        <v>5</v>
      </c>
      <c r="AI26" s="54" t="s">
        <v>257</v>
      </c>
      <c r="AJ26" s="14"/>
      <c r="AK26" s="10"/>
      <c r="AL26" s="12" t="s">
        <v>5</v>
      </c>
      <c r="AM26" s="13" t="s">
        <v>4</v>
      </c>
      <c r="AN26" s="14"/>
      <c r="AO26" s="10"/>
      <c r="AP26" s="12" t="s">
        <v>5</v>
      </c>
      <c r="AQ26" s="13" t="s">
        <v>4</v>
      </c>
      <c r="AR26" s="14"/>
      <c r="AS26" s="10"/>
      <c r="AT26" s="12" t="s">
        <v>5</v>
      </c>
      <c r="AU26" s="13" t="s">
        <v>4</v>
      </c>
      <c r="AV26" s="14"/>
      <c r="AW26" s="10"/>
      <c r="AX26" s="12" t="s">
        <v>5</v>
      </c>
      <c r="AY26" s="13" t="s">
        <v>4</v>
      </c>
      <c r="AZ26" s="14"/>
      <c r="BA26" s="51"/>
    </row>
    <row r="27" spans="1:53" ht="15" customHeight="1">
      <c r="A27" s="11"/>
      <c r="B27" s="12" t="s">
        <v>11</v>
      </c>
      <c r="C27" s="15" t="s">
        <v>13</v>
      </c>
      <c r="D27" s="43">
        <v>0</v>
      </c>
      <c r="E27" s="9"/>
      <c r="F27" s="12" t="s">
        <v>11</v>
      </c>
      <c r="G27" s="15" t="s">
        <v>13</v>
      </c>
      <c r="H27" s="14">
        <v>0</v>
      </c>
      <c r="I27" s="10"/>
      <c r="J27" s="12" t="s">
        <v>11</v>
      </c>
      <c r="K27" s="15" t="s">
        <v>13</v>
      </c>
      <c r="L27" s="14">
        <v>0</v>
      </c>
      <c r="M27" s="10"/>
      <c r="N27" s="12" t="s">
        <v>11</v>
      </c>
      <c r="O27" s="15" t="s">
        <v>13</v>
      </c>
      <c r="P27" s="14">
        <v>0</v>
      </c>
      <c r="Q27" s="10"/>
      <c r="R27" s="12" t="s">
        <v>11</v>
      </c>
      <c r="S27" s="15" t="s">
        <v>13</v>
      </c>
      <c r="T27" s="14">
        <v>0</v>
      </c>
      <c r="U27" s="10"/>
      <c r="V27" s="12" t="s">
        <v>11</v>
      </c>
      <c r="W27" s="15" t="s">
        <v>13</v>
      </c>
      <c r="X27" s="14">
        <v>0</v>
      </c>
      <c r="Y27" s="10"/>
      <c r="Z27" s="12" t="s">
        <v>11</v>
      </c>
      <c r="AA27" s="44" t="s">
        <v>131</v>
      </c>
      <c r="AB27" s="43">
        <v>1999</v>
      </c>
      <c r="AC27" s="10"/>
      <c r="AD27" s="12" t="s">
        <v>11</v>
      </c>
      <c r="AE27" s="15" t="s">
        <v>13</v>
      </c>
      <c r="AF27" s="14">
        <v>0</v>
      </c>
      <c r="AG27" s="10"/>
      <c r="AH27" s="12" t="s">
        <v>11</v>
      </c>
      <c r="AI27" s="54" t="s">
        <v>131</v>
      </c>
      <c r="AJ27" s="55">
        <v>2000</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s="51"/>
    </row>
    <row r="28" spans="1:53" ht="15" customHeight="1">
      <c r="A28" s="11"/>
      <c r="B28" s="12" t="s">
        <v>12</v>
      </c>
      <c r="C28" s="15" t="s">
        <v>13</v>
      </c>
      <c r="D28" s="14">
        <v>0</v>
      </c>
      <c r="E28" s="9"/>
      <c r="F28" s="12" t="s">
        <v>12</v>
      </c>
      <c r="G28" s="15" t="s">
        <v>13</v>
      </c>
      <c r="H28" s="16">
        <v>0</v>
      </c>
      <c r="I28" s="10"/>
      <c r="J28" s="12" t="s">
        <v>12</v>
      </c>
      <c r="K28" s="15" t="s">
        <v>13</v>
      </c>
      <c r="L28" s="14">
        <v>0</v>
      </c>
      <c r="M28" s="10"/>
      <c r="N28" s="12" t="s">
        <v>12</v>
      </c>
      <c r="O28" s="15" t="s">
        <v>13</v>
      </c>
      <c r="P28" s="16">
        <v>0</v>
      </c>
      <c r="Q28" s="10"/>
      <c r="R28" s="12" t="s">
        <v>12</v>
      </c>
      <c r="S28" s="15" t="s">
        <v>13</v>
      </c>
      <c r="T28" s="16">
        <v>0</v>
      </c>
      <c r="U28" s="10"/>
      <c r="V28" s="12" t="s">
        <v>12</v>
      </c>
      <c r="W28" s="15" t="s">
        <v>13</v>
      </c>
      <c r="X28" s="16">
        <v>0</v>
      </c>
      <c r="Y28" s="10"/>
      <c r="Z28" s="12" t="s">
        <v>12</v>
      </c>
      <c r="AA28" s="15" t="s">
        <v>13</v>
      </c>
      <c r="AB28" s="14">
        <v>0</v>
      </c>
      <c r="AC28" s="10"/>
      <c r="AD28" s="12" t="s">
        <v>12</v>
      </c>
      <c r="AE28" s="15" t="s">
        <v>13</v>
      </c>
      <c r="AF28" s="16">
        <v>0</v>
      </c>
      <c r="AG28" s="10"/>
      <c r="AH28" s="12" t="s">
        <v>12</v>
      </c>
      <c r="AI28" s="44" t="s">
        <v>268</v>
      </c>
      <c r="AJ28" s="43">
        <v>5000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s="51"/>
    </row>
    <row r="29" spans="1:53" ht="15" customHeight="1">
      <c r="A29" s="11"/>
      <c r="B29" s="12" t="s">
        <v>14</v>
      </c>
      <c r="C29" s="15" t="s">
        <v>13</v>
      </c>
      <c r="D29" s="14">
        <v>0</v>
      </c>
      <c r="E29" s="9"/>
      <c r="F29" s="12" t="s">
        <v>14</v>
      </c>
      <c r="G29" s="15" t="s">
        <v>13</v>
      </c>
      <c r="H29" s="14">
        <v>0</v>
      </c>
      <c r="I29" s="10"/>
      <c r="J29" s="12" t="s">
        <v>14</v>
      </c>
      <c r="K29" s="15" t="s">
        <v>13</v>
      </c>
      <c r="L29" s="14">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15" t="s">
        <v>13</v>
      </c>
      <c r="AJ29" s="14">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s="51"/>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s="51"/>
    </row>
    <row r="31" spans="1:53" ht="15" customHeight="1">
      <c r="A31" s="11"/>
      <c r="B31" s="12" t="s">
        <v>7</v>
      </c>
      <c r="C31" s="13">
        <v>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44">
        <v>49000</v>
      </c>
      <c r="AB31" s="43"/>
      <c r="AC31" s="10"/>
      <c r="AD31" s="12" t="s">
        <v>7</v>
      </c>
      <c r="AE31" s="13">
        <v>0</v>
      </c>
      <c r="AF31" s="14"/>
      <c r="AG31" s="10"/>
      <c r="AH31" s="12" t="s">
        <v>7</v>
      </c>
      <c r="AI31" s="44">
        <v>69000</v>
      </c>
      <c r="AJ31" s="14"/>
      <c r="AK31" s="10"/>
      <c r="AL31" s="12" t="s">
        <v>7</v>
      </c>
      <c r="AM31" s="13">
        <v>0</v>
      </c>
      <c r="AN31" s="14"/>
      <c r="AO31" s="10"/>
      <c r="AP31" s="12" t="s">
        <v>7</v>
      </c>
      <c r="AQ31" s="13">
        <v>0</v>
      </c>
      <c r="AR31" s="14"/>
      <c r="AS31" s="10"/>
      <c r="AT31" s="12" t="s">
        <v>7</v>
      </c>
      <c r="AU31" s="13">
        <v>0</v>
      </c>
      <c r="AV31" s="14"/>
      <c r="AW31" s="10"/>
      <c r="AX31" s="12" t="s">
        <v>7</v>
      </c>
      <c r="AY31" s="13">
        <v>0</v>
      </c>
      <c r="AZ31" s="14"/>
      <c r="BA31" s="5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44">
        <v>0</v>
      </c>
      <c r="AB32" s="43"/>
      <c r="AC32" s="10"/>
      <c r="AD32" s="12" t="s">
        <v>6</v>
      </c>
      <c r="AE32" s="15">
        <v>0</v>
      </c>
      <c r="AF32" s="14"/>
      <c r="AG32" s="10"/>
      <c r="AH32" s="12" t="s">
        <v>6</v>
      </c>
      <c r="AI32" s="15">
        <v>0</v>
      </c>
      <c r="AJ32" s="14"/>
      <c r="AK32" s="10"/>
      <c r="AL32" s="12" t="s">
        <v>6</v>
      </c>
      <c r="AM32" s="15">
        <v>0</v>
      </c>
      <c r="AN32" s="14"/>
      <c r="AO32" s="10"/>
      <c r="AP32" s="12" t="s">
        <v>6</v>
      </c>
      <c r="AQ32" s="15">
        <v>0</v>
      </c>
      <c r="AR32" s="14"/>
      <c r="AS32" s="10"/>
      <c r="AT32" s="12" t="s">
        <v>6</v>
      </c>
      <c r="AU32" s="15">
        <v>0</v>
      </c>
      <c r="AV32" s="14"/>
      <c r="AW32" s="10"/>
      <c r="AX32" s="12" t="s">
        <v>6</v>
      </c>
      <c r="AY32" s="15">
        <v>0</v>
      </c>
      <c r="AZ32" s="14"/>
      <c r="BA32" s="51"/>
    </row>
    <row r="33" spans="1:53" ht="15" customHeight="1">
      <c r="A33" s="11"/>
      <c r="B33" s="12" t="s">
        <v>5</v>
      </c>
      <c r="C33" s="13" t="s">
        <v>4</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44" t="s">
        <v>112</v>
      </c>
      <c r="AB33" s="43"/>
      <c r="AC33" s="10"/>
      <c r="AD33" s="12" t="s">
        <v>5</v>
      </c>
      <c r="AE33" s="13" t="s">
        <v>4</v>
      </c>
      <c r="AF33" s="14"/>
      <c r="AG33" s="10"/>
      <c r="AH33" s="12" t="s">
        <v>5</v>
      </c>
      <c r="AI33" s="54" t="s">
        <v>266</v>
      </c>
      <c r="AJ33" s="14"/>
      <c r="AK33" s="10"/>
      <c r="AL33" s="12" t="s">
        <v>5</v>
      </c>
      <c r="AM33" s="13" t="s">
        <v>4</v>
      </c>
      <c r="AN33" s="14"/>
      <c r="AO33" s="10"/>
      <c r="AP33" s="12" t="s">
        <v>5</v>
      </c>
      <c r="AQ33" s="13" t="s">
        <v>4</v>
      </c>
      <c r="AR33" s="14"/>
      <c r="AS33" s="10"/>
      <c r="AT33" s="12" t="s">
        <v>5</v>
      </c>
      <c r="AU33" s="13" t="s">
        <v>4</v>
      </c>
      <c r="AV33" s="14"/>
      <c r="AW33" s="10"/>
      <c r="AX33" s="12" t="s">
        <v>5</v>
      </c>
      <c r="AY33" s="13" t="s">
        <v>4</v>
      </c>
      <c r="AZ33" s="14"/>
      <c r="BA33" s="51"/>
    </row>
    <row r="34" spans="1:53" ht="15" customHeight="1">
      <c r="A34" s="11"/>
      <c r="B34" s="12" t="s">
        <v>11</v>
      </c>
      <c r="C34" s="15" t="s">
        <v>13</v>
      </c>
      <c r="D34" s="43">
        <v>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44" t="s">
        <v>131</v>
      </c>
      <c r="AB34" s="43">
        <v>1999</v>
      </c>
      <c r="AC34" s="10"/>
      <c r="AD34" s="12" t="s">
        <v>11</v>
      </c>
      <c r="AE34" s="15" t="s">
        <v>13</v>
      </c>
      <c r="AF34" s="14">
        <v>0</v>
      </c>
      <c r="AG34" s="10"/>
      <c r="AH34" s="12" t="s">
        <v>11</v>
      </c>
      <c r="AI34" s="54" t="s">
        <v>131</v>
      </c>
      <c r="AJ34" s="43">
        <v>2000</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s="51"/>
    </row>
    <row r="35" spans="1:53" ht="15" customHeight="1">
      <c r="A35" s="11"/>
      <c r="B35" s="12" t="s">
        <v>12</v>
      </c>
      <c r="C35" s="15" t="s">
        <v>13</v>
      </c>
      <c r="D35" s="43">
        <v>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4">
        <v>0</v>
      </c>
      <c r="AC35" s="10"/>
      <c r="AD35" s="12" t="s">
        <v>12</v>
      </c>
      <c r="AE35" s="15" t="s">
        <v>13</v>
      </c>
      <c r="AF35" s="16">
        <v>0</v>
      </c>
      <c r="AG35" s="10"/>
      <c r="AH35" s="12" t="s">
        <v>12</v>
      </c>
      <c r="AI35" s="15" t="s">
        <v>13</v>
      </c>
      <c r="AJ35" s="16">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s="51"/>
    </row>
    <row r="36" spans="1:53" ht="15" customHeight="1">
      <c r="A36" s="11"/>
      <c r="B36" s="12" t="s">
        <v>14</v>
      </c>
      <c r="C36" s="15" t="s">
        <v>13</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s="51"/>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s="51"/>
    </row>
    <row r="38" spans="1:53" ht="15" customHeight="1">
      <c r="A38" s="11"/>
      <c r="B38" s="12" t="s">
        <v>7</v>
      </c>
      <c r="C38" s="44">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44">
        <v>48000</v>
      </c>
      <c r="AB38" s="43"/>
      <c r="AC38" s="10"/>
      <c r="AD38" s="12" t="s">
        <v>7</v>
      </c>
      <c r="AE38" s="13">
        <v>0</v>
      </c>
      <c r="AF38" s="14"/>
      <c r="AG38" s="10"/>
      <c r="AH38" s="12" t="s">
        <v>7</v>
      </c>
      <c r="AI38" s="44">
        <v>67000</v>
      </c>
      <c r="AJ38" s="14"/>
      <c r="AK38" s="10"/>
      <c r="AL38" s="12" t="s">
        <v>7</v>
      </c>
      <c r="AM38" s="13">
        <v>0</v>
      </c>
      <c r="AN38" s="14"/>
      <c r="AO38" s="10"/>
      <c r="AP38" s="12" t="s">
        <v>7</v>
      </c>
      <c r="AQ38" s="13">
        <v>0</v>
      </c>
      <c r="AR38" s="14"/>
      <c r="AS38" s="10"/>
      <c r="AT38" s="12" t="s">
        <v>7</v>
      </c>
      <c r="AU38" s="13">
        <v>0</v>
      </c>
      <c r="AV38" s="14"/>
      <c r="AW38" s="10"/>
      <c r="AX38" s="12" t="s">
        <v>7</v>
      </c>
      <c r="AY38" s="13">
        <v>0</v>
      </c>
      <c r="AZ38" s="14"/>
      <c r="BA38" s="51"/>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44">
        <v>0</v>
      </c>
      <c r="AB39" s="43"/>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s="51"/>
    </row>
    <row r="40" spans="1:53"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44" t="s">
        <v>33</v>
      </c>
      <c r="AB40" s="43"/>
      <c r="AC40" s="10"/>
      <c r="AD40" s="12" t="s">
        <v>5</v>
      </c>
      <c r="AE40" s="13" t="s">
        <v>4</v>
      </c>
      <c r="AF40" s="14"/>
      <c r="AG40" s="10"/>
      <c r="AH40" s="12" t="s">
        <v>5</v>
      </c>
      <c r="AI40" s="54" t="s">
        <v>267</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s="51"/>
    </row>
    <row r="41" spans="1:53" ht="15" customHeight="1">
      <c r="A41" s="11"/>
      <c r="B41" s="12" t="s">
        <v>11</v>
      </c>
      <c r="C41" s="15" t="s">
        <v>13</v>
      </c>
      <c r="D41" s="43">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44" t="s">
        <v>131</v>
      </c>
      <c r="AB41" s="43">
        <v>1999</v>
      </c>
      <c r="AC41" s="10"/>
      <c r="AD41" s="12" t="s">
        <v>11</v>
      </c>
      <c r="AE41" s="15" t="s">
        <v>13</v>
      </c>
      <c r="AF41" s="14">
        <v>0</v>
      </c>
      <c r="AG41" s="10"/>
      <c r="AH41" s="12" t="s">
        <v>11</v>
      </c>
      <c r="AI41" s="54" t="s">
        <v>131</v>
      </c>
      <c r="AJ41" s="55">
        <v>2000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s="51"/>
    </row>
    <row r="42" spans="1:53" ht="15" customHeight="1">
      <c r="A42" s="11"/>
      <c r="B42" s="12" t="s">
        <v>12</v>
      </c>
      <c r="C42" s="15" t="s">
        <v>13</v>
      </c>
      <c r="D42" s="43">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4">
        <v>0</v>
      </c>
      <c r="AC42" s="10"/>
      <c r="AD42" s="12" t="s">
        <v>12</v>
      </c>
      <c r="AE42" s="15" t="s">
        <v>13</v>
      </c>
      <c r="AF42" s="16">
        <v>0</v>
      </c>
      <c r="AG42" s="10"/>
      <c r="AH42" s="12" t="s">
        <v>12</v>
      </c>
      <c r="AI42" s="15" t="s">
        <v>13</v>
      </c>
      <c r="AJ42" s="16">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s="51"/>
    </row>
    <row r="43" spans="1:53" ht="15" customHeight="1">
      <c r="A43" s="11"/>
      <c r="B43" s="12" t="s">
        <v>14</v>
      </c>
      <c r="C43" s="15" t="s">
        <v>13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s="51"/>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s="51"/>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44">
        <v>65000</v>
      </c>
      <c r="AJ45" s="14"/>
      <c r="AK45" s="10"/>
      <c r="AL45" s="12" t="s">
        <v>7</v>
      </c>
      <c r="AM45" s="13">
        <v>0</v>
      </c>
      <c r="AN45" s="14"/>
      <c r="AO45" s="10"/>
      <c r="AP45" s="12" t="s">
        <v>7</v>
      </c>
      <c r="AQ45" s="13">
        <v>0</v>
      </c>
      <c r="AR45" s="14"/>
      <c r="AS45" s="10"/>
      <c r="AT45" s="12" t="s">
        <v>7</v>
      </c>
      <c r="AU45" s="13">
        <v>0</v>
      </c>
      <c r="AV45" s="14"/>
      <c r="AW45" s="10"/>
      <c r="AX45" s="12" t="s">
        <v>7</v>
      </c>
      <c r="AY45" s="13">
        <v>0</v>
      </c>
      <c r="AZ45" s="14"/>
      <c r="BA45" s="51"/>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s="51"/>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54" t="s">
        <v>269</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s="51"/>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54" t="s">
        <v>131</v>
      </c>
      <c r="AJ48" s="43">
        <v>2000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s="51"/>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6">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s="51"/>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s="51"/>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s="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13">
        <v>0</v>
      </c>
      <c r="AJ52" s="14"/>
      <c r="AK52" s="10"/>
      <c r="AL52" s="12" t="s">
        <v>7</v>
      </c>
      <c r="AM52" s="13">
        <v>0</v>
      </c>
      <c r="AN52" s="14"/>
      <c r="AO52" s="10"/>
      <c r="AP52" s="12" t="s">
        <v>7</v>
      </c>
      <c r="AQ52" s="13">
        <v>0</v>
      </c>
      <c r="AR52" s="14"/>
      <c r="AS52" s="10"/>
      <c r="AT52" s="12" t="s">
        <v>7</v>
      </c>
      <c r="AU52" s="13">
        <v>0</v>
      </c>
      <c r="AV52" s="14"/>
      <c r="AW52" s="10"/>
      <c r="AX52" s="12" t="s">
        <v>7</v>
      </c>
      <c r="AY52" s="13">
        <v>0</v>
      </c>
      <c r="AZ52" s="14"/>
      <c r="BA52" s="51"/>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s="51"/>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13" t="s">
        <v>4</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s="51"/>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15" t="s">
        <v>13</v>
      </c>
      <c r="AJ55" s="14">
        <v>0</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s="51"/>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s="51"/>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s="51"/>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s="51"/>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s="51"/>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s="51"/>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s="5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s="51"/>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s="51"/>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s="51"/>
    </row>
    <row r="65" spans="1:53"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s="51"/>
    </row>
    <row r="66" spans="1:53"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s="51"/>
    </row>
    <row r="67" spans="1:53"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s="51"/>
    </row>
    <row r="68" spans="1:53"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s="51"/>
    </row>
    <row r="69" spans="1:53"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s="51"/>
    </row>
    <row r="70" spans="1:53"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s="51"/>
    </row>
    <row r="71" spans="1:53"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s="51"/>
    </row>
    <row r="72" spans="1:53"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s="51"/>
    </row>
    <row r="73" spans="1:53" ht="15" customHeight="1">
      <c r="A73" s="11"/>
      <c r="B73" s="22" t="s">
        <v>8</v>
      </c>
      <c r="C73" s="23">
        <v>200</v>
      </c>
      <c r="D73" s="24"/>
      <c r="E73" s="25"/>
      <c r="F73" s="22" t="s">
        <v>8</v>
      </c>
      <c r="G73" s="23">
        <v>1000</v>
      </c>
      <c r="H73" s="24"/>
      <c r="I73" s="25"/>
      <c r="J73" s="22" t="s">
        <v>8</v>
      </c>
      <c r="K73" s="23">
        <v>1000</v>
      </c>
      <c r="L73" s="24"/>
      <c r="M73" s="25"/>
      <c r="N73" s="22" t="s">
        <v>8</v>
      </c>
      <c r="O73" s="23">
        <v>2000</v>
      </c>
      <c r="P73" s="24"/>
      <c r="Q73" s="25"/>
      <c r="R73" s="22" t="s">
        <v>8</v>
      </c>
      <c r="S73" s="23">
        <v>0</v>
      </c>
      <c r="T73" s="24"/>
      <c r="U73" s="25"/>
      <c r="V73" s="22" t="s">
        <v>8</v>
      </c>
      <c r="W73" s="23">
        <v>5000</v>
      </c>
      <c r="X73" s="24"/>
      <c r="Y73" s="25"/>
      <c r="Z73" s="22" t="s">
        <v>8</v>
      </c>
      <c r="AA73" s="23">
        <v>1000</v>
      </c>
      <c r="AB73" s="24"/>
      <c r="AC73" s="25"/>
      <c r="AD73" s="22" t="s">
        <v>8</v>
      </c>
      <c r="AE73" s="23">
        <v>1000</v>
      </c>
      <c r="AF73" s="24"/>
      <c r="AG73" s="25"/>
      <c r="AH73" s="22" t="s">
        <v>8</v>
      </c>
      <c r="AI73" s="23">
        <v>1000</v>
      </c>
      <c r="AJ73" s="24"/>
      <c r="AK73" s="25"/>
      <c r="AL73" s="22" t="s">
        <v>8</v>
      </c>
      <c r="AM73" s="23">
        <v>0</v>
      </c>
      <c r="AN73" s="24"/>
      <c r="AO73" s="25"/>
      <c r="AP73" s="22" t="s">
        <v>8</v>
      </c>
      <c r="AQ73" s="23">
        <v>0</v>
      </c>
      <c r="AR73" s="24"/>
      <c r="AS73" s="25"/>
      <c r="AT73" s="22" t="s">
        <v>8</v>
      </c>
      <c r="AU73" s="23">
        <v>0</v>
      </c>
      <c r="AV73" s="24"/>
      <c r="AW73" s="25"/>
      <c r="AX73" s="22" t="s">
        <v>8</v>
      </c>
      <c r="AY73" s="23">
        <v>0</v>
      </c>
      <c r="AZ73" s="24"/>
      <c r="BA73" s="51"/>
    </row>
    <row r="74" spans="1:53"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1</v>
      </c>
      <c r="X74" s="28"/>
      <c r="Y74" s="25"/>
      <c r="Z74" s="26" t="s">
        <v>10</v>
      </c>
      <c r="AA74" s="45">
        <v>1</v>
      </c>
      <c r="AB74" s="28"/>
      <c r="AC74" s="25"/>
      <c r="AD74" s="26" t="s">
        <v>10</v>
      </c>
      <c r="AE74" s="27">
        <v>1</v>
      </c>
      <c r="AF74" s="28"/>
      <c r="AG74" s="25"/>
      <c r="AH74" s="26" t="s">
        <v>10</v>
      </c>
      <c r="AI74" s="45">
        <v>1</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s="51"/>
    </row>
    <row r="75" spans="1:53" s="32" customFormat="1" ht="15.7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22</v>
      </c>
      <c r="AN75" s="28"/>
      <c r="AO75" s="31"/>
      <c r="AP75" s="26" t="s">
        <v>18</v>
      </c>
      <c r="AQ75" s="27" t="s">
        <v>22</v>
      </c>
      <c r="AR75" s="28"/>
      <c r="AS75" s="31"/>
      <c r="AT75" s="26" t="s">
        <v>18</v>
      </c>
      <c r="AU75" s="27" t="s">
        <v>22</v>
      </c>
      <c r="AV75" s="28"/>
      <c r="AW75" s="31"/>
      <c r="AX75" s="26" t="s">
        <v>18</v>
      </c>
      <c r="AY75" s="27" t="s">
        <v>22</v>
      </c>
      <c r="AZ75" s="28"/>
      <c r="BA75" s="51"/>
    </row>
    <row r="76" spans="1:53" s="7" customFormat="1" ht="15.75">
      <c r="A76" s="51"/>
      <c r="B76" s="51"/>
      <c r="C76" s="51"/>
      <c r="D76" s="51"/>
      <c r="E76" s="51"/>
      <c r="F76" s="51"/>
      <c r="G76" s="51"/>
      <c r="H76" s="51"/>
      <c r="I76" s="5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row>
    <row r="77" spans="1:53" s="7" customFormat="1" ht="15.75">
      <c r="A77" s="51"/>
      <c r="B77" s="35" t="s">
        <v>119</v>
      </c>
      <c r="C77" s="36" t="s">
        <v>68</v>
      </c>
      <c r="D77" s="4" t="s">
        <v>36</v>
      </c>
      <c r="E77" s="51"/>
      <c r="F77" s="35" t="s">
        <v>119</v>
      </c>
      <c r="G77" s="36" t="s">
        <v>132</v>
      </c>
      <c r="H77" s="4" t="s">
        <v>36</v>
      </c>
      <c r="I77" s="51"/>
      <c r="J77" s="35" t="s">
        <v>5</v>
      </c>
      <c r="K77" s="47" t="s">
        <v>33</v>
      </c>
      <c r="L77" s="48" t="s">
        <v>36</v>
      </c>
      <c r="M77" s="51"/>
      <c r="N77" s="35" t="s">
        <v>5</v>
      </c>
      <c r="O77" s="36" t="s">
        <v>19</v>
      </c>
      <c r="P77" s="4" t="s">
        <v>37</v>
      </c>
      <c r="Q77" s="51"/>
      <c r="R77" s="35" t="s">
        <v>5</v>
      </c>
      <c r="S77" s="36" t="s">
        <v>51</v>
      </c>
      <c r="T77" s="4" t="s">
        <v>36</v>
      </c>
      <c r="U77" s="51"/>
      <c r="V77" s="35" t="s">
        <v>5</v>
      </c>
      <c r="W77" s="36" t="s">
        <v>52</v>
      </c>
      <c r="X77" s="48" t="s">
        <v>37</v>
      </c>
      <c r="Y77" s="51"/>
      <c r="Z77" s="35" t="s">
        <v>5</v>
      </c>
      <c r="AA77" s="36" t="s">
        <v>53</v>
      </c>
      <c r="AB77" s="48" t="s">
        <v>37</v>
      </c>
      <c r="AC77" s="51"/>
      <c r="AD77" s="35" t="s">
        <v>5</v>
      </c>
      <c r="AE77" s="36" t="s">
        <v>143</v>
      </c>
      <c r="AF77" s="4" t="s">
        <v>37</v>
      </c>
      <c r="AG77" s="51"/>
      <c r="AH77" s="35" t="s">
        <v>5</v>
      </c>
      <c r="AI77" s="36" t="s">
        <v>144</v>
      </c>
      <c r="AJ77" s="4" t="s">
        <v>36</v>
      </c>
      <c r="AK77" s="51"/>
      <c r="AL77" s="35" t="s">
        <v>5</v>
      </c>
      <c r="AM77" s="36" t="s">
        <v>145</v>
      </c>
      <c r="AN77" s="4" t="s">
        <v>37</v>
      </c>
      <c r="AO77" s="51"/>
      <c r="AP77" s="35" t="s">
        <v>5</v>
      </c>
      <c r="AQ77" s="36" t="s">
        <v>145</v>
      </c>
      <c r="AR77" s="4" t="s">
        <v>37</v>
      </c>
      <c r="AS77" s="51"/>
      <c r="AT77" s="35" t="s">
        <v>5</v>
      </c>
      <c r="AU77" s="36" t="s">
        <v>145</v>
      </c>
      <c r="AV77" s="4" t="s">
        <v>37</v>
      </c>
      <c r="AW77" s="51"/>
      <c r="AX77" s="35" t="s">
        <v>5</v>
      </c>
      <c r="AY77" s="47" t="s">
        <v>193</v>
      </c>
      <c r="AZ77" s="48" t="s">
        <v>36</v>
      </c>
      <c r="BA77" s="51"/>
    </row>
    <row r="78" spans="1:53" s="7" customFormat="1" ht="15.75">
      <c r="A78" s="51"/>
      <c r="B78" s="35" t="s">
        <v>38</v>
      </c>
      <c r="C78" s="36" t="s">
        <v>126</v>
      </c>
      <c r="D78" s="38" t="s">
        <v>120</v>
      </c>
      <c r="E78" s="51"/>
      <c r="F78" s="35" t="s">
        <v>38</v>
      </c>
      <c r="G78" s="36" t="s">
        <v>126</v>
      </c>
      <c r="H78" s="38" t="s">
        <v>120</v>
      </c>
      <c r="I78" s="51"/>
      <c r="J78" s="35" t="s">
        <v>38</v>
      </c>
      <c r="K78" s="47" t="s">
        <v>42</v>
      </c>
      <c r="L78" s="47">
        <v>0</v>
      </c>
      <c r="M78" s="51"/>
      <c r="N78" s="35" t="s">
        <v>38</v>
      </c>
      <c r="O78" s="36" t="s">
        <v>43</v>
      </c>
      <c r="P78" s="38">
        <v>15</v>
      </c>
      <c r="Q78" s="51"/>
      <c r="R78" s="35" t="s">
        <v>38</v>
      </c>
      <c r="S78" s="36" t="s">
        <v>62</v>
      </c>
      <c r="T78" s="38" t="s">
        <v>63</v>
      </c>
      <c r="U78" s="51"/>
      <c r="V78" s="35" t="s">
        <v>38</v>
      </c>
      <c r="W78" s="36" t="s">
        <v>62</v>
      </c>
      <c r="X78" s="38" t="s">
        <v>64</v>
      </c>
      <c r="Y78" s="51"/>
      <c r="Z78" s="35" t="s">
        <v>38</v>
      </c>
      <c r="AA78" s="36" t="s">
        <v>62</v>
      </c>
      <c r="AB78" s="38" t="s">
        <v>65</v>
      </c>
      <c r="AC78" s="51"/>
      <c r="AD78" s="35" t="s">
        <v>38</v>
      </c>
      <c r="AE78" s="36" t="s">
        <v>43</v>
      </c>
      <c r="AF78" s="38" t="s">
        <v>146</v>
      </c>
      <c r="AG78" s="51"/>
      <c r="AH78" s="35" t="s">
        <v>38</v>
      </c>
      <c r="AI78" s="36" t="s">
        <v>42</v>
      </c>
      <c r="AJ78" s="36">
        <v>0</v>
      </c>
      <c r="AK78" s="51"/>
      <c r="AL78" s="35" t="s">
        <v>38</v>
      </c>
      <c r="AM78" s="36" t="s">
        <v>147</v>
      </c>
      <c r="AN78" s="36">
        <v>1</v>
      </c>
      <c r="AO78" s="51"/>
      <c r="AP78" s="35" t="s">
        <v>38</v>
      </c>
      <c r="AQ78" s="36" t="s">
        <v>147</v>
      </c>
      <c r="AR78" s="36">
        <v>2</v>
      </c>
      <c r="AS78" s="51"/>
      <c r="AT78" s="35" t="s">
        <v>38</v>
      </c>
      <c r="AU78" s="36" t="s">
        <v>147</v>
      </c>
      <c r="AV78" s="36">
        <v>3</v>
      </c>
      <c r="AW78" s="51"/>
      <c r="AX78" s="35" t="s">
        <v>38</v>
      </c>
      <c r="AY78" s="47" t="s">
        <v>194</v>
      </c>
      <c r="AZ78" s="49" t="s">
        <v>65</v>
      </c>
      <c r="BA78" s="51"/>
    </row>
    <row r="79" spans="1:53" s="7" customFormat="1" ht="15.75">
      <c r="A79" s="51"/>
      <c r="B79" s="35" t="s">
        <v>38</v>
      </c>
      <c r="C79" s="36" t="s">
        <v>125</v>
      </c>
      <c r="D79" s="38" t="s">
        <v>134</v>
      </c>
      <c r="E79" s="51"/>
      <c r="F79" s="35" t="s">
        <v>38</v>
      </c>
      <c r="G79" s="36" t="s">
        <v>125</v>
      </c>
      <c r="H79" s="38" t="s">
        <v>134</v>
      </c>
      <c r="I79" s="51"/>
      <c r="J79" s="35" t="s">
        <v>38</v>
      </c>
      <c r="K79" s="47" t="s">
        <v>39</v>
      </c>
      <c r="L79" s="47">
        <v>2000</v>
      </c>
      <c r="M79" s="51"/>
      <c r="N79" s="35" t="s">
        <v>38</v>
      </c>
      <c r="O79" s="36" t="s">
        <v>44</v>
      </c>
      <c r="P79" s="38" t="s">
        <v>45</v>
      </c>
      <c r="Q79" s="51"/>
      <c r="R79" s="35" t="s">
        <v>38</v>
      </c>
      <c r="S79" s="36" t="s">
        <v>54</v>
      </c>
      <c r="T79" s="49" t="s">
        <v>235</v>
      </c>
      <c r="U79" s="51"/>
      <c r="V79" s="35" t="s">
        <v>38</v>
      </c>
      <c r="W79" s="36" t="s">
        <v>54</v>
      </c>
      <c r="X79" s="38" t="s">
        <v>115</v>
      </c>
      <c r="Y79" s="51"/>
      <c r="Z79" s="35" t="s">
        <v>38</v>
      </c>
      <c r="AA79" s="36" t="s">
        <v>54</v>
      </c>
      <c r="AB79" s="38" t="s">
        <v>118</v>
      </c>
      <c r="AC79" s="51"/>
      <c r="AD79" s="35" t="s">
        <v>38</v>
      </c>
      <c r="AE79" s="36" t="s">
        <v>148</v>
      </c>
      <c r="AF79" s="38" t="s">
        <v>64</v>
      </c>
      <c r="AG79" s="51"/>
      <c r="AH79" s="35" t="s">
        <v>38</v>
      </c>
      <c r="AI79" s="36" t="s">
        <v>149</v>
      </c>
      <c r="AJ79" s="47">
        <v>400</v>
      </c>
      <c r="AK79" s="51"/>
      <c r="AL79" s="35" t="s">
        <v>38</v>
      </c>
      <c r="AM79" s="36" t="s">
        <v>150</v>
      </c>
      <c r="AN79" s="36">
        <v>1200</v>
      </c>
      <c r="AO79" s="51"/>
      <c r="AP79" s="35" t="s">
        <v>38</v>
      </c>
      <c r="AQ79" s="36" t="s">
        <v>150</v>
      </c>
      <c r="AR79" s="36">
        <v>600</v>
      </c>
      <c r="AS79" s="51"/>
      <c r="AT79" s="35" t="s">
        <v>38</v>
      </c>
      <c r="AU79" s="36" t="s">
        <v>150</v>
      </c>
      <c r="AV79" s="36">
        <v>300</v>
      </c>
      <c r="AW79" s="51"/>
      <c r="AX79" s="35" t="s">
        <v>38</v>
      </c>
      <c r="AY79" s="47" t="s">
        <v>195</v>
      </c>
      <c r="AZ79" s="49" t="s">
        <v>196</v>
      </c>
      <c r="BA79" s="51"/>
    </row>
    <row r="80" spans="1:53" s="7" customFormat="1" ht="15.75">
      <c r="A80" s="51"/>
      <c r="B80" s="35" t="s">
        <v>38</v>
      </c>
      <c r="C80" s="36" t="s">
        <v>126</v>
      </c>
      <c r="D80" s="38" t="s">
        <v>121</v>
      </c>
      <c r="E80" s="51"/>
      <c r="F80" s="35" t="s">
        <v>38</v>
      </c>
      <c r="G80" s="36" t="s">
        <v>126</v>
      </c>
      <c r="H80" s="38" t="s">
        <v>121</v>
      </c>
      <c r="I80" s="51"/>
      <c r="J80" s="35" t="s">
        <v>38</v>
      </c>
      <c r="K80" s="47" t="s">
        <v>40</v>
      </c>
      <c r="L80" s="47">
        <v>1000</v>
      </c>
      <c r="M80" s="51"/>
      <c r="N80" s="35" t="s">
        <v>38</v>
      </c>
      <c r="O80" s="36" t="s">
        <v>46</v>
      </c>
      <c r="P80" s="38" t="s">
        <v>47</v>
      </c>
      <c r="Q80" s="51"/>
      <c r="R80" s="35" t="s">
        <v>38</v>
      </c>
      <c r="S80" s="36" t="s">
        <v>67</v>
      </c>
      <c r="T80" s="38" t="s">
        <v>258</v>
      </c>
      <c r="U80" s="51"/>
      <c r="V80" s="35" t="s">
        <v>38</v>
      </c>
      <c r="W80" s="36" t="s">
        <v>67</v>
      </c>
      <c r="X80" s="38" t="s">
        <v>117</v>
      </c>
      <c r="Y80" s="51"/>
      <c r="Z80" s="35" t="s">
        <v>38</v>
      </c>
      <c r="AA80" s="36" t="s">
        <v>67</v>
      </c>
      <c r="AB80" s="38" t="s">
        <v>117</v>
      </c>
      <c r="AC80" s="51"/>
      <c r="AD80" s="35" t="s">
        <v>38</v>
      </c>
      <c r="AE80" s="36" t="s">
        <v>46</v>
      </c>
      <c r="AF80" s="38" t="s">
        <v>142</v>
      </c>
      <c r="AG80" s="51"/>
      <c r="AH80" s="35" t="s">
        <v>38</v>
      </c>
      <c r="AI80" s="36" t="s">
        <v>151</v>
      </c>
      <c r="AJ80" s="47">
        <v>100</v>
      </c>
      <c r="AK80" s="51"/>
      <c r="AL80" s="35" t="s">
        <v>38</v>
      </c>
      <c r="AM80" s="36" t="s">
        <v>152</v>
      </c>
      <c r="AN80" s="36">
        <v>300</v>
      </c>
      <c r="AO80" s="51"/>
      <c r="AP80" s="35" t="s">
        <v>38</v>
      </c>
      <c r="AQ80" s="36" t="s">
        <v>152</v>
      </c>
      <c r="AR80" s="36">
        <v>300</v>
      </c>
      <c r="AS80" s="51"/>
      <c r="AT80" s="35" t="s">
        <v>38</v>
      </c>
      <c r="AU80" s="36" t="s">
        <v>152</v>
      </c>
      <c r="AV80" s="36">
        <v>300</v>
      </c>
      <c r="AW80" s="51"/>
      <c r="AX80" s="35" t="s">
        <v>38</v>
      </c>
      <c r="AY80" s="47" t="s">
        <v>197</v>
      </c>
      <c r="AZ80" s="49" t="s">
        <v>262</v>
      </c>
      <c r="BA80" s="51"/>
    </row>
    <row r="81" spans="1:53" s="7" customFormat="1" ht="15.75">
      <c r="A81" s="51"/>
      <c r="B81" s="35" t="s">
        <v>38</v>
      </c>
      <c r="C81" s="36" t="s">
        <v>125</v>
      </c>
      <c r="D81" s="38" t="s">
        <v>122</v>
      </c>
      <c r="E81" s="51"/>
      <c r="F81" s="35" t="s">
        <v>38</v>
      </c>
      <c r="G81" s="36" t="s">
        <v>125</v>
      </c>
      <c r="H81" s="38" t="s">
        <v>122</v>
      </c>
      <c r="I81" s="51"/>
      <c r="J81" s="35" t="s">
        <v>38</v>
      </c>
      <c r="K81" s="47" t="s">
        <v>41</v>
      </c>
      <c r="L81" s="47">
        <v>500</v>
      </c>
      <c r="M81" s="51"/>
      <c r="N81" s="35" t="s">
        <v>38</v>
      </c>
      <c r="O81" s="36" t="s">
        <v>48</v>
      </c>
      <c r="P81" s="38" t="s">
        <v>49</v>
      </c>
      <c r="Q81" s="51"/>
      <c r="R81" s="35" t="s">
        <v>38</v>
      </c>
      <c r="S81" s="36" t="s">
        <v>66</v>
      </c>
      <c r="T81" s="38" t="s">
        <v>259</v>
      </c>
      <c r="U81" s="51"/>
      <c r="V81" s="35" t="s">
        <v>38</v>
      </c>
      <c r="W81" s="36" t="s">
        <v>66</v>
      </c>
      <c r="X81" s="38" t="s">
        <v>142</v>
      </c>
      <c r="Y81" s="51"/>
      <c r="Z81" s="35" t="s">
        <v>38</v>
      </c>
      <c r="AA81" s="36" t="s">
        <v>66</v>
      </c>
      <c r="AB81" s="38" t="s">
        <v>142</v>
      </c>
      <c r="AC81" s="51"/>
      <c r="AD81" s="35" t="s">
        <v>38</v>
      </c>
      <c r="AE81" s="36" t="s">
        <v>153</v>
      </c>
      <c r="AF81" s="38" t="s">
        <v>64</v>
      </c>
      <c r="AG81" s="51"/>
      <c r="AH81" s="35" t="s">
        <v>38</v>
      </c>
      <c r="AI81" s="36" t="s">
        <v>154</v>
      </c>
      <c r="AJ81" s="47">
        <v>100</v>
      </c>
      <c r="AK81" s="51"/>
      <c r="AL81" s="51"/>
      <c r="AM81" s="51"/>
      <c r="AN81" s="51"/>
      <c r="AO81" s="51"/>
      <c r="AP81" s="51"/>
      <c r="AQ81" s="51"/>
      <c r="AR81" s="51"/>
      <c r="AS81" s="51"/>
      <c r="AT81" s="51"/>
      <c r="AU81" s="51"/>
      <c r="AV81" s="51"/>
      <c r="AW81" s="51"/>
      <c r="AX81" s="35" t="s">
        <v>38</v>
      </c>
      <c r="AY81" s="47" t="s">
        <v>198</v>
      </c>
      <c r="AZ81" s="49" t="s">
        <v>236</v>
      </c>
      <c r="BA81" s="51"/>
    </row>
    <row r="82" spans="1:53" s="7" customFormat="1" ht="15.75">
      <c r="A82" s="51"/>
      <c r="B82" s="35" t="s">
        <v>38</v>
      </c>
      <c r="C82" s="36" t="s">
        <v>126</v>
      </c>
      <c r="D82" s="38" t="s">
        <v>123</v>
      </c>
      <c r="E82" s="51"/>
      <c r="F82" s="35" t="s">
        <v>38</v>
      </c>
      <c r="G82" s="36" t="s">
        <v>126</v>
      </c>
      <c r="H82" s="38" t="s">
        <v>123</v>
      </c>
      <c r="I82" s="51"/>
      <c r="J82" s="51"/>
      <c r="K82" s="51"/>
      <c r="L82" s="51"/>
      <c r="M82" s="51"/>
      <c r="N82" s="35" t="s">
        <v>38</v>
      </c>
      <c r="O82" s="36" t="s">
        <v>50</v>
      </c>
      <c r="P82" s="38" t="s">
        <v>47</v>
      </c>
      <c r="Q82" s="51"/>
      <c r="R82" s="35" t="s">
        <v>38</v>
      </c>
      <c r="S82" s="36" t="s">
        <v>57</v>
      </c>
      <c r="T82" s="38" t="s">
        <v>227</v>
      </c>
      <c r="U82" s="51"/>
      <c r="V82" s="35" t="s">
        <v>38</v>
      </c>
      <c r="W82" s="36" t="s">
        <v>57</v>
      </c>
      <c r="X82" s="38" t="s">
        <v>58</v>
      </c>
      <c r="Y82" s="51"/>
      <c r="Z82" s="35" t="s">
        <v>38</v>
      </c>
      <c r="AA82" s="36" t="s">
        <v>57</v>
      </c>
      <c r="AB82" s="38" t="s">
        <v>58</v>
      </c>
      <c r="AC82" s="51"/>
      <c r="AD82" s="35" t="s">
        <v>38</v>
      </c>
      <c r="AE82" s="36" t="s">
        <v>50</v>
      </c>
      <c r="AF82" s="38" t="s">
        <v>136</v>
      </c>
      <c r="AG82" s="51"/>
      <c r="AH82" s="35" t="s">
        <v>38</v>
      </c>
      <c r="AI82" s="36" t="s">
        <v>155</v>
      </c>
      <c r="AJ82" s="47">
        <v>200</v>
      </c>
      <c r="AK82" s="51"/>
      <c r="AL82" s="51"/>
      <c r="AM82" s="51"/>
      <c r="AN82" s="51"/>
      <c r="AO82" s="51"/>
      <c r="AP82" s="51"/>
      <c r="AQ82" s="51"/>
      <c r="AR82" s="51"/>
      <c r="AS82" s="51"/>
      <c r="AT82" s="51"/>
      <c r="AU82" s="51"/>
      <c r="AV82" s="51"/>
      <c r="AW82" s="51"/>
      <c r="AX82" s="35" t="s">
        <v>38</v>
      </c>
      <c r="AY82" s="47" t="s">
        <v>237</v>
      </c>
      <c r="AZ82" s="49" t="s">
        <v>263</v>
      </c>
      <c r="BA82" s="51"/>
    </row>
    <row r="83" spans="1:53" s="7" customFormat="1" ht="15.75">
      <c r="A83" s="51"/>
      <c r="B83" s="35" t="s">
        <v>38</v>
      </c>
      <c r="C83" s="36" t="s">
        <v>125</v>
      </c>
      <c r="D83" s="38" t="s">
        <v>135</v>
      </c>
      <c r="E83" s="51"/>
      <c r="F83" s="35" t="s">
        <v>38</v>
      </c>
      <c r="G83" s="36" t="s">
        <v>125</v>
      </c>
      <c r="H83" s="38" t="s">
        <v>135</v>
      </c>
      <c r="I83" s="51"/>
      <c r="J83" s="51"/>
      <c r="K83" s="51"/>
      <c r="L83" s="51"/>
      <c r="M83" s="51"/>
      <c r="N83" s="51"/>
      <c r="O83" s="51"/>
      <c r="P83" s="51"/>
      <c r="Q83" s="51"/>
      <c r="R83" s="35" t="s">
        <v>38</v>
      </c>
      <c r="S83" s="36" t="s">
        <v>55</v>
      </c>
      <c r="T83" s="49" t="s">
        <v>138</v>
      </c>
      <c r="U83" s="51"/>
      <c r="V83" s="35" t="s">
        <v>38</v>
      </c>
      <c r="W83" s="36" t="s">
        <v>55</v>
      </c>
      <c r="X83" s="38" t="s">
        <v>239</v>
      </c>
      <c r="Y83" s="51"/>
      <c r="Z83" s="35" t="s">
        <v>38</v>
      </c>
      <c r="AA83" s="36" t="s">
        <v>55</v>
      </c>
      <c r="AB83" s="38" t="s">
        <v>239</v>
      </c>
      <c r="AC83" s="51"/>
      <c r="AD83" s="35" t="s">
        <v>38</v>
      </c>
      <c r="AE83" s="36" t="s">
        <v>156</v>
      </c>
      <c r="AF83" s="38" t="s">
        <v>64</v>
      </c>
      <c r="AG83" s="51"/>
      <c r="AH83" s="35" t="s">
        <v>38</v>
      </c>
      <c r="AI83" s="36" t="s">
        <v>157</v>
      </c>
      <c r="AJ83" s="47">
        <v>100</v>
      </c>
      <c r="AK83" s="51"/>
      <c r="AL83" s="51"/>
      <c r="AM83" s="51"/>
      <c r="AN83" s="51"/>
      <c r="AO83" s="51"/>
      <c r="AP83" s="51"/>
      <c r="AQ83" s="51"/>
      <c r="AR83" s="51"/>
      <c r="AS83" s="51"/>
      <c r="AT83" s="51"/>
      <c r="AU83" s="51"/>
      <c r="AV83" s="51"/>
      <c r="AW83" s="51"/>
      <c r="AX83" s="35" t="s">
        <v>38</v>
      </c>
      <c r="AY83" s="47" t="s">
        <v>199</v>
      </c>
      <c r="AZ83" s="49" t="s">
        <v>240</v>
      </c>
      <c r="BA83" s="51"/>
    </row>
    <row r="84" spans="1:53" s="7" customFormat="1" ht="15.75">
      <c r="A84" s="51"/>
      <c r="B84" s="35" t="s">
        <v>38</v>
      </c>
      <c r="C84" s="36" t="s">
        <v>126</v>
      </c>
      <c r="D84" s="38" t="s">
        <v>124</v>
      </c>
      <c r="E84" s="51"/>
      <c r="F84" s="35" t="s">
        <v>38</v>
      </c>
      <c r="G84" s="36" t="s">
        <v>126</v>
      </c>
      <c r="H84" s="38" t="s">
        <v>124</v>
      </c>
      <c r="I84" s="51"/>
      <c r="J84" s="51"/>
      <c r="K84" s="51"/>
      <c r="L84" s="51"/>
      <c r="M84" s="51"/>
      <c r="N84" s="51"/>
      <c r="O84" s="51"/>
      <c r="P84" s="51"/>
      <c r="Q84" s="51"/>
      <c r="R84" s="35" t="s">
        <v>38</v>
      </c>
      <c r="S84" s="36" t="s">
        <v>56</v>
      </c>
      <c r="T84" s="49" t="s">
        <v>137</v>
      </c>
      <c r="U84" s="51"/>
      <c r="V84" s="35" t="s">
        <v>38</v>
      </c>
      <c r="W84" s="36" t="s">
        <v>56</v>
      </c>
      <c r="X84" s="38" t="s">
        <v>241</v>
      </c>
      <c r="Y84" s="51"/>
      <c r="Z84" s="35" t="s">
        <v>38</v>
      </c>
      <c r="AA84" s="36" t="s">
        <v>56</v>
      </c>
      <c r="AB84" s="38" t="s">
        <v>241</v>
      </c>
      <c r="AC84" s="51"/>
      <c r="AD84" s="35" t="s">
        <v>38</v>
      </c>
      <c r="AE84" s="36" t="s">
        <v>158</v>
      </c>
      <c r="AF84" s="38" t="s">
        <v>159</v>
      </c>
      <c r="AG84" s="51"/>
      <c r="AH84" s="35" t="s">
        <v>38</v>
      </c>
      <c r="AI84" s="36" t="s">
        <v>160</v>
      </c>
      <c r="AJ84" s="47">
        <v>800</v>
      </c>
      <c r="AK84" s="51"/>
      <c r="AL84" s="51"/>
      <c r="AM84" s="51"/>
      <c r="AN84" s="51"/>
      <c r="AO84" s="51"/>
      <c r="AP84" s="51"/>
      <c r="AQ84" s="51"/>
      <c r="AR84" s="51"/>
      <c r="AS84" s="51"/>
      <c r="AT84" s="51"/>
      <c r="AU84" s="51"/>
      <c r="AV84" s="51"/>
      <c r="AW84" s="51"/>
      <c r="AX84" s="35" t="s">
        <v>38</v>
      </c>
      <c r="AY84" s="47" t="s">
        <v>200</v>
      </c>
      <c r="AZ84" s="49" t="s">
        <v>264</v>
      </c>
      <c r="BA84" s="51"/>
    </row>
    <row r="85" spans="1:53" s="7" customFormat="1" ht="15.75">
      <c r="A85" s="51"/>
      <c r="B85" s="35" t="s">
        <v>38</v>
      </c>
      <c r="C85" s="36" t="s">
        <v>125</v>
      </c>
      <c r="D85" s="38" t="s">
        <v>136</v>
      </c>
      <c r="E85" s="51"/>
      <c r="F85" s="35" t="s">
        <v>38</v>
      </c>
      <c r="G85" s="36" t="s">
        <v>125</v>
      </c>
      <c r="H85" s="38" t="s">
        <v>136</v>
      </c>
      <c r="I85" s="51"/>
      <c r="J85" s="51"/>
      <c r="K85" s="51"/>
      <c r="L85" s="51"/>
      <c r="M85" s="51"/>
      <c r="N85" s="51"/>
      <c r="O85" s="51"/>
      <c r="P85" s="51"/>
      <c r="Q85" s="51"/>
      <c r="R85" s="35" t="s">
        <v>38</v>
      </c>
      <c r="S85" s="36" t="s">
        <v>59</v>
      </c>
      <c r="T85" s="49" t="s">
        <v>243</v>
      </c>
      <c r="U85" s="51"/>
      <c r="V85" s="35" t="s">
        <v>38</v>
      </c>
      <c r="W85" s="36" t="s">
        <v>59</v>
      </c>
      <c r="X85" s="38" t="s">
        <v>141</v>
      </c>
      <c r="Y85" s="51"/>
      <c r="Z85" s="35" t="s">
        <v>38</v>
      </c>
      <c r="AA85" s="36" t="s">
        <v>59</v>
      </c>
      <c r="AB85" s="38" t="s">
        <v>141</v>
      </c>
      <c r="AC85" s="51"/>
      <c r="AD85" s="51"/>
      <c r="AE85" s="51"/>
      <c r="AF85" s="51"/>
      <c r="AG85" s="51"/>
      <c r="AH85" s="35" t="s">
        <v>38</v>
      </c>
      <c r="AI85" s="36" t="s">
        <v>255</v>
      </c>
      <c r="AJ85" s="47">
        <v>100</v>
      </c>
      <c r="AK85" s="51"/>
      <c r="AL85" s="51"/>
      <c r="AM85" s="51"/>
      <c r="AN85" s="51"/>
      <c r="AO85" s="51"/>
      <c r="AP85" s="51"/>
      <c r="AQ85" s="51"/>
      <c r="AR85" s="51"/>
      <c r="AS85" s="51"/>
      <c r="AT85" s="51"/>
      <c r="AU85" s="51"/>
      <c r="AV85" s="51"/>
      <c r="AW85" s="51"/>
      <c r="AX85" s="35" t="s">
        <v>38</v>
      </c>
      <c r="AY85" s="47" t="s">
        <v>201</v>
      </c>
      <c r="AZ85" s="52">
        <f>ROUND(AZ80+AZ86*AZ82/1000, 0)</f>
        <v>212483</v>
      </c>
      <c r="BA85" s="51"/>
    </row>
    <row r="86" spans="1:53" s="7" customFormat="1" ht="15.75">
      <c r="A86" s="51"/>
      <c r="B86" s="41" t="s">
        <v>38</v>
      </c>
      <c r="C86" s="42" t="s">
        <v>127</v>
      </c>
      <c r="D86" s="38" t="s">
        <v>63</v>
      </c>
      <c r="E86" s="51"/>
      <c r="F86" s="41" t="s">
        <v>38</v>
      </c>
      <c r="G86" s="42" t="s">
        <v>127</v>
      </c>
      <c r="H86" s="38" t="s">
        <v>64</v>
      </c>
      <c r="I86" s="51"/>
      <c r="J86" s="51"/>
      <c r="K86" s="51"/>
      <c r="L86" s="51"/>
      <c r="M86" s="51"/>
      <c r="N86" s="51"/>
      <c r="O86" s="51"/>
      <c r="P86" s="51"/>
      <c r="Q86" s="51"/>
      <c r="R86" s="35" t="s">
        <v>38</v>
      </c>
      <c r="S86" s="36" t="s">
        <v>60</v>
      </c>
      <c r="T86" s="49" t="s">
        <v>241</v>
      </c>
      <c r="U86" s="51"/>
      <c r="V86" s="35" t="s">
        <v>38</v>
      </c>
      <c r="W86" s="36" t="s">
        <v>60</v>
      </c>
      <c r="X86" s="38" t="s">
        <v>138</v>
      </c>
      <c r="Y86" s="51"/>
      <c r="Z86" s="35" t="s">
        <v>38</v>
      </c>
      <c r="AA86" s="36" t="s">
        <v>60</v>
      </c>
      <c r="AB86" s="38" t="s">
        <v>138</v>
      </c>
      <c r="AC86" s="51"/>
      <c r="AD86" s="51"/>
      <c r="AE86" s="51"/>
      <c r="AF86" s="51"/>
      <c r="AG86" s="51"/>
      <c r="AH86" s="35" t="s">
        <v>38</v>
      </c>
      <c r="AI86" s="36" t="s">
        <v>256</v>
      </c>
      <c r="AJ86" s="47">
        <v>25500</v>
      </c>
      <c r="AK86" s="51"/>
      <c r="AL86" s="51"/>
      <c r="AM86" s="51"/>
      <c r="AN86" s="51"/>
      <c r="AO86" s="51"/>
      <c r="AP86" s="51"/>
      <c r="AQ86" s="51"/>
      <c r="AR86" s="51"/>
      <c r="AS86" s="51"/>
      <c r="AT86" s="51"/>
      <c r="AU86" s="51"/>
      <c r="AV86" s="51"/>
      <c r="AW86" s="51"/>
      <c r="AX86" s="41" t="s">
        <v>38</v>
      </c>
      <c r="AY86" s="53" t="s">
        <v>202</v>
      </c>
      <c r="AZ86" s="52">
        <f>ROUND((AZ79-AZ80)*1000/(AZ82-AZ81),0)</f>
        <v>2833</v>
      </c>
      <c r="BA86" s="51"/>
    </row>
    <row r="87" spans="1:53" s="7" customFormat="1" ht="15.75">
      <c r="A87" s="51"/>
      <c r="B87" s="51"/>
      <c r="C87" s="51"/>
      <c r="D87" s="51"/>
      <c r="E87" s="51"/>
      <c r="F87" s="51"/>
      <c r="G87" s="51"/>
      <c r="H87" s="51"/>
      <c r="I87" s="51"/>
      <c r="J87" s="51"/>
      <c r="K87" s="51"/>
      <c r="L87" s="51"/>
      <c r="M87" s="51"/>
      <c r="N87" s="51"/>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35" t="s">
        <v>38</v>
      </c>
      <c r="AY87" s="47" t="s">
        <v>203</v>
      </c>
      <c r="AZ87" s="52">
        <f>ROUND(AZ84+AZ88*AZ82/1000,0)</f>
        <v>172517</v>
      </c>
      <c r="BA87" s="51"/>
    </row>
    <row r="88" spans="1:53" s="7" customFormat="1" ht="15.75">
      <c r="A88" s="51"/>
      <c r="B88" s="51"/>
      <c r="C88" s="51"/>
      <c r="D88" s="51"/>
      <c r="E88" s="51"/>
      <c r="F88" s="51"/>
      <c r="G88" s="51"/>
      <c r="H88" s="51"/>
      <c r="I88" s="51"/>
      <c r="J88" s="51"/>
      <c r="K88" s="51"/>
      <c r="L88" s="51"/>
      <c r="M88" s="51"/>
      <c r="N88" s="51"/>
      <c r="O88" s="51"/>
      <c r="P88" s="51"/>
      <c r="Q88" s="51"/>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41" t="s">
        <v>38</v>
      </c>
      <c r="AY88" s="53" t="s">
        <v>204</v>
      </c>
      <c r="AZ88" s="52">
        <f>ROUND((AZ83-AZ84)*1000/(AZ82-AZ81),0)</f>
        <v>2167</v>
      </c>
    </row>
    <row r="89" spans="1:53" s="7" customFormat="1" ht="15.75">
      <c r="A89" s="51"/>
      <c r="B89" s="51"/>
      <c r="C89" s="51"/>
      <c r="D89" s="51"/>
      <c r="E89" s="51"/>
      <c r="F89" s="51"/>
      <c r="G89" s="51"/>
      <c r="H89" s="51"/>
      <c r="I89" s="51"/>
      <c r="J89" s="51"/>
      <c r="K89" s="51"/>
      <c r="L89" s="51"/>
      <c r="M89" s="51"/>
      <c r="N89" s="51"/>
      <c r="O89" s="51"/>
      <c r="P89" s="51"/>
      <c r="Q89" s="51"/>
      <c r="U89" s="51"/>
      <c r="V89" s="51"/>
      <c r="W89" s="51"/>
      <c r="X89" s="51"/>
      <c r="Y89" s="51"/>
      <c r="Z89" s="51"/>
      <c r="AA89" s="51"/>
      <c r="AB89" s="51"/>
      <c r="AC89" s="51"/>
      <c r="AD89" s="51"/>
      <c r="AE89" s="51"/>
      <c r="AF89" s="51"/>
      <c r="AG89" s="51"/>
      <c r="AH89" s="51"/>
      <c r="AI89" s="51"/>
      <c r="AJ89" s="51"/>
      <c r="AK89" s="51"/>
      <c r="AL89" s="51"/>
      <c r="AM89" s="51"/>
      <c r="AN89" s="51"/>
      <c r="AO89" s="51"/>
      <c r="AP89" s="51"/>
      <c r="AQ89" s="51"/>
      <c r="AR89" s="51"/>
      <c r="AS89" s="51"/>
      <c r="AT89" s="51"/>
      <c r="AU89" s="51"/>
      <c r="AV89" s="51"/>
      <c r="AW89" s="51"/>
      <c r="AX89" s="35" t="s">
        <v>38</v>
      </c>
      <c r="AY89" s="36" t="s">
        <v>226</v>
      </c>
      <c r="AZ89" s="49" t="s">
        <v>270</v>
      </c>
    </row>
    <row r="90" spans="1:53" s="7" customFormat="1" ht="15.75">
      <c r="A90" s="51"/>
      <c r="B90" s="51"/>
      <c r="C90" s="51"/>
      <c r="D90" s="51"/>
      <c r="E90" s="51"/>
      <c r="F90" s="51"/>
      <c r="G90" s="51"/>
      <c r="H90" s="51"/>
      <c r="I90" s="51"/>
      <c r="J90" s="51"/>
      <c r="K90" s="51"/>
      <c r="L90" s="51"/>
      <c r="M90" s="51"/>
      <c r="N90" s="51"/>
      <c r="O90" s="51"/>
      <c r="P90" s="51"/>
      <c r="Q90" s="51"/>
      <c r="U90" s="51"/>
      <c r="V90" s="51"/>
      <c r="W90" s="51"/>
      <c r="X90" s="51"/>
      <c r="Y90" s="51"/>
      <c r="Z90" s="51"/>
      <c r="AA90" s="51"/>
      <c r="AB90" s="51"/>
      <c r="AC90" s="51"/>
      <c r="AD90" s="51"/>
      <c r="AE90" s="51"/>
      <c r="AF90" s="51"/>
      <c r="AG90" s="51"/>
      <c r="AH90" s="51"/>
      <c r="AI90" s="51"/>
      <c r="AJ90" s="51"/>
      <c r="AK90" s="51"/>
      <c r="AL90" s="51"/>
      <c r="AM90" s="51"/>
      <c r="AN90" s="51"/>
      <c r="AO90" s="51"/>
      <c r="AP90" s="51"/>
      <c r="AQ90" s="51"/>
      <c r="AR90" s="51"/>
      <c r="AS90" s="51"/>
      <c r="AT90" s="51"/>
      <c r="AU90" s="51"/>
      <c r="AV90" s="51"/>
      <c r="AW90" s="51"/>
      <c r="AX90" s="35" t="s">
        <v>38</v>
      </c>
      <c r="AY90" s="36" t="s">
        <v>228</v>
      </c>
      <c r="AZ90" s="49" t="s">
        <v>270</v>
      </c>
    </row>
    <row r="91" spans="1:53" s="7" customFormat="1" ht="15.75">
      <c r="A91" s="51"/>
      <c r="B91" s="51"/>
      <c r="C91" s="51"/>
      <c r="D91" s="51"/>
      <c r="E91" s="51"/>
      <c r="F91" s="51"/>
      <c r="G91" s="51"/>
      <c r="H91" s="51"/>
      <c r="I91" s="51"/>
      <c r="J91" s="51"/>
      <c r="K91" s="51"/>
      <c r="L91" s="51"/>
      <c r="M91" s="51"/>
      <c r="N91" s="51"/>
      <c r="O91" s="51"/>
      <c r="P91" s="51"/>
      <c r="Q91" s="51"/>
      <c r="U91" s="51"/>
      <c r="V91" s="51"/>
      <c r="W91" s="51"/>
      <c r="X91" s="51"/>
      <c r="Y91" s="51"/>
      <c r="Z91" s="51"/>
      <c r="AA91" s="51"/>
      <c r="AB91" s="51"/>
      <c r="AC91" s="51"/>
      <c r="AD91" s="51"/>
      <c r="AE91" s="51"/>
      <c r="AF91" s="51"/>
      <c r="AG91" s="51"/>
      <c r="AH91" s="51"/>
      <c r="AI91" s="51"/>
      <c r="AJ91" s="51"/>
      <c r="AK91" s="51"/>
      <c r="AL91" s="51"/>
      <c r="AM91" s="51"/>
      <c r="AN91" s="51"/>
      <c r="AO91" s="51"/>
      <c r="AP91" s="51"/>
      <c r="AQ91" s="51"/>
      <c r="AR91" s="51"/>
      <c r="AS91" s="51"/>
      <c r="AT91" s="51"/>
      <c r="AU91" s="51"/>
      <c r="AV91" s="51"/>
      <c r="AW91" s="51"/>
      <c r="AX91" s="35" t="s">
        <v>38</v>
      </c>
      <c r="AY91" s="36" t="s">
        <v>229</v>
      </c>
      <c r="AZ91" s="49" t="s">
        <v>230</v>
      </c>
    </row>
    <row r="92" spans="1:53" s="7" customFormat="1" ht="15.75">
      <c r="A92" s="51"/>
      <c r="B92" s="51"/>
      <c r="C92" s="51"/>
      <c r="D92" s="51"/>
      <c r="E92" s="51"/>
      <c r="F92" s="51"/>
      <c r="G92" s="51"/>
      <c r="H92" s="51"/>
      <c r="I92" s="51"/>
      <c r="J92" s="51"/>
      <c r="K92" s="51"/>
      <c r="L92" s="51"/>
      <c r="M92" s="51"/>
      <c r="N92" s="51"/>
      <c r="O92" s="51"/>
      <c r="P92" s="51"/>
      <c r="Q92" s="51"/>
      <c r="U92" s="51"/>
      <c r="V92" s="51"/>
      <c r="W92" s="51"/>
      <c r="X92" s="51"/>
      <c r="Y92" s="51"/>
      <c r="Z92" s="51"/>
      <c r="AA92" s="51"/>
      <c r="AB92" s="51"/>
      <c r="AC92" s="51"/>
      <c r="AD92" s="51"/>
      <c r="AE92" s="51"/>
      <c r="AF92" s="51"/>
      <c r="AG92" s="51"/>
      <c r="AH92" s="51"/>
      <c r="AI92" s="51"/>
      <c r="AJ92" s="51"/>
      <c r="AK92" s="51"/>
      <c r="AL92" s="51"/>
      <c r="AM92" s="51"/>
      <c r="AN92" s="51"/>
      <c r="AO92" s="51"/>
      <c r="AP92" s="51"/>
      <c r="AQ92" s="51"/>
      <c r="AR92" s="51"/>
      <c r="AS92" s="51"/>
      <c r="AT92" s="51"/>
      <c r="AU92" s="51"/>
      <c r="AV92" s="51"/>
      <c r="AW92" s="51"/>
      <c r="AX92" s="51"/>
    </row>
    <row r="93" spans="1:53" s="7" customFormat="1" ht="15.75">
      <c r="A93" s="51"/>
      <c r="B93" s="51"/>
      <c r="C93" s="51"/>
      <c r="D93" s="51"/>
      <c r="E93" s="51"/>
      <c r="F93" s="51"/>
      <c r="G93" s="51"/>
      <c r="H93" s="51"/>
      <c r="I93" s="51"/>
      <c r="J93" s="51"/>
      <c r="K93" s="51"/>
      <c r="L93" s="51"/>
      <c r="M93" s="51"/>
      <c r="N93" s="51"/>
      <c r="O93" s="51"/>
      <c r="P93" s="51"/>
      <c r="Q93" s="51"/>
      <c r="U93" s="51"/>
      <c r="V93" s="51"/>
      <c r="W93" s="51"/>
      <c r="X93" s="51"/>
      <c r="Y93" s="51"/>
      <c r="Z93" s="51"/>
      <c r="AA93" s="51"/>
      <c r="AB93" s="51"/>
      <c r="AC93" s="51"/>
      <c r="AD93" s="51"/>
      <c r="AE93" s="51"/>
      <c r="AF93" s="51"/>
      <c r="AG93" s="51"/>
      <c r="AH93" s="51"/>
      <c r="AI93" s="51"/>
      <c r="AJ93" s="51"/>
      <c r="AK93" s="51"/>
      <c r="AL93" s="51"/>
      <c r="AM93" s="51"/>
      <c r="AN93" s="51"/>
      <c r="AO93" s="51"/>
      <c r="AP93" s="51"/>
      <c r="AQ93" s="51"/>
      <c r="AR93" s="51"/>
      <c r="AS93" s="51"/>
      <c r="AT93" s="51"/>
      <c r="AU93" s="51"/>
      <c r="AV93" s="51"/>
      <c r="AW93" s="51"/>
      <c r="AX93" s="51"/>
    </row>
    <row r="94" spans="1:53" s="7" customFormat="1" ht="15.75">
      <c r="A94" s="51"/>
      <c r="B94" s="51"/>
      <c r="C94" s="51"/>
      <c r="D94" s="51"/>
      <c r="E94" s="51"/>
      <c r="F94" s="51"/>
      <c r="G94" s="51"/>
      <c r="H94" s="51"/>
      <c r="I94" s="51"/>
      <c r="J94" s="51"/>
      <c r="K94" s="51"/>
      <c r="L94" s="51"/>
      <c r="M94" s="51"/>
      <c r="N94" s="51"/>
      <c r="O94" s="51"/>
      <c r="P94" s="51"/>
      <c r="Q94" s="51"/>
      <c r="U94" s="51"/>
      <c r="V94" s="51"/>
      <c r="W94" s="51"/>
      <c r="X94" s="51"/>
      <c r="Y94" s="51"/>
      <c r="Z94" s="51"/>
      <c r="AA94" s="51"/>
      <c r="AB94" s="51"/>
      <c r="AC94" s="51"/>
      <c r="AD94" s="51"/>
      <c r="AE94" s="51"/>
      <c r="AF94" s="51"/>
      <c r="AG94" s="51"/>
      <c r="AH94" s="51"/>
      <c r="AI94" s="51"/>
      <c r="AJ94" s="51"/>
      <c r="AK94" s="51"/>
      <c r="AL94" s="51"/>
      <c r="AM94" s="51"/>
      <c r="AN94" s="51"/>
      <c r="AO94" s="51"/>
      <c r="AP94" s="51"/>
      <c r="AQ94" s="51"/>
      <c r="AR94" s="51"/>
      <c r="AS94" s="51"/>
      <c r="AT94" s="51"/>
      <c r="AU94" s="51"/>
      <c r="AV94" s="51"/>
      <c r="AW94" s="51"/>
      <c r="AX94" s="51"/>
    </row>
    <row r="95" spans="1:53" ht="15.75">
      <c r="A95" s="51"/>
      <c r="B95" s="51"/>
      <c r="C95" s="51"/>
      <c r="D95" s="51"/>
      <c r="E95" s="51"/>
      <c r="F95" s="51"/>
      <c r="G95" s="51"/>
      <c r="H95" s="51"/>
      <c r="I95" s="51"/>
      <c r="J95" s="51"/>
      <c r="K95" s="51"/>
      <c r="L95" s="51"/>
      <c r="M95" s="51"/>
      <c r="N95" s="51"/>
      <c r="O95" s="51"/>
      <c r="P95" s="51"/>
      <c r="Q95" s="51"/>
      <c r="U95" s="51"/>
      <c r="V95" s="51"/>
      <c r="W95" s="51"/>
      <c r="X95" s="51"/>
      <c r="Y95" s="51"/>
      <c r="Z95" s="51"/>
      <c r="AA95" s="51"/>
      <c r="AB95" s="51"/>
      <c r="AC95" s="51"/>
      <c r="AD95" s="51"/>
      <c r="AE95" s="51"/>
      <c r="AF95" s="51"/>
      <c r="AG95" s="51"/>
      <c r="AH95" s="51"/>
      <c r="AI95" s="51"/>
      <c r="AJ95" s="51"/>
      <c r="AK95" s="51"/>
      <c r="AL95" s="51"/>
      <c r="AM95" s="51"/>
      <c r="AN95" s="51"/>
      <c r="AO95" s="51"/>
      <c r="AP95" s="51"/>
      <c r="AQ95" s="51"/>
      <c r="AR95" s="51"/>
      <c r="AS95" s="51"/>
      <c r="AT95" s="51"/>
      <c r="AU95" s="51"/>
      <c r="AV95" s="51"/>
      <c r="AW95" s="51"/>
      <c r="AX95" s="51"/>
      <c r="AY95" s="1"/>
      <c r="AZ95" s="1"/>
      <c r="BA95" s="1"/>
    </row>
    <row r="96" spans="1:53" ht="15.75">
      <c r="A96" s="51"/>
      <c r="B96" s="51"/>
      <c r="C96" s="51"/>
      <c r="D96" s="51"/>
      <c r="E96" s="51"/>
      <c r="F96" s="51"/>
      <c r="G96" s="51"/>
      <c r="H96" s="51"/>
      <c r="I96" s="51"/>
      <c r="J96" s="51"/>
      <c r="K96" s="51"/>
      <c r="L96" s="51"/>
      <c r="M96" s="51"/>
      <c r="N96" s="51"/>
      <c r="O96" s="51"/>
      <c r="P96" s="51"/>
      <c r="Q96" s="51"/>
      <c r="U96" s="51"/>
      <c r="V96" s="51"/>
      <c r="W96" s="51"/>
      <c r="X96" s="51"/>
      <c r="Y96" s="51"/>
      <c r="Z96" s="51"/>
      <c r="AA96" s="51"/>
      <c r="AB96" s="51"/>
      <c r="AC96" s="51"/>
      <c r="AD96" s="51"/>
      <c r="AE96" s="51"/>
      <c r="AF96" s="51"/>
      <c r="AG96" s="51"/>
      <c r="AH96" s="51"/>
      <c r="AI96" s="51"/>
      <c r="AJ96" s="51"/>
      <c r="AK96" s="51"/>
      <c r="AL96" s="51"/>
      <c r="AM96" s="51"/>
      <c r="AN96" s="51"/>
      <c r="AO96" s="51"/>
      <c r="AP96" s="51"/>
      <c r="AQ96" s="51"/>
      <c r="AR96" s="51"/>
      <c r="AS96" s="51"/>
      <c r="AT96" s="51"/>
      <c r="AU96" s="51"/>
      <c r="AV96" s="51"/>
      <c r="AW96" s="51"/>
      <c r="AX96" s="51"/>
      <c r="AY96" s="1"/>
      <c r="AZ96" s="1"/>
      <c r="BA96" s="1"/>
    </row>
    <row r="97" spans="1:53" ht="15.75">
      <c r="A97" s="51"/>
      <c r="B97" s="51"/>
      <c r="C97" s="51"/>
      <c r="D97" s="51"/>
      <c r="E97" s="51"/>
      <c r="F97" s="51"/>
      <c r="G97" s="51"/>
      <c r="H97" s="51"/>
      <c r="I97" s="51"/>
      <c r="J97" s="51"/>
      <c r="K97" s="51"/>
      <c r="L97" s="51"/>
      <c r="M97" s="51"/>
      <c r="N97" s="51"/>
      <c r="O97" s="51"/>
      <c r="P97" s="51"/>
      <c r="Q97" s="51"/>
      <c r="U97" s="51"/>
      <c r="V97" s="51"/>
      <c r="W97" s="51"/>
      <c r="X97" s="51"/>
      <c r="Y97" s="51"/>
      <c r="Z97" s="51"/>
      <c r="AA97" s="51"/>
      <c r="AB97" s="51"/>
      <c r="AC97" s="51"/>
      <c r="AD97" s="51"/>
      <c r="AE97" s="51"/>
      <c r="AF97" s="51"/>
      <c r="AG97" s="51"/>
      <c r="AH97" s="51"/>
      <c r="AI97" s="51"/>
      <c r="AJ97" s="51"/>
      <c r="AK97" s="51"/>
      <c r="AL97" s="51"/>
      <c r="AM97" s="51"/>
      <c r="AN97" s="51"/>
      <c r="AO97" s="51"/>
      <c r="AP97" s="51"/>
      <c r="AQ97" s="51"/>
      <c r="AR97" s="51"/>
      <c r="AS97" s="51"/>
      <c r="AT97" s="51"/>
      <c r="AU97" s="51"/>
      <c r="AV97" s="51"/>
      <c r="AW97" s="51"/>
      <c r="AX97" s="51"/>
      <c r="AY97" s="1"/>
      <c r="AZ97" s="1"/>
      <c r="BA97" s="1"/>
    </row>
    <row r="98" spans="1:53" ht="15.75">
      <c r="A98" s="51"/>
      <c r="B98" s="51"/>
      <c r="C98" s="51"/>
      <c r="D98" s="51"/>
      <c r="E98" s="51"/>
      <c r="F98" s="51"/>
      <c r="G98" s="51"/>
      <c r="H98" s="51"/>
      <c r="I98" s="51"/>
      <c r="J98" s="51"/>
      <c r="K98" s="51"/>
      <c r="L98" s="51"/>
      <c r="M98" s="51"/>
      <c r="N98" s="51"/>
      <c r="O98" s="51"/>
      <c r="P98" s="51"/>
      <c r="Q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c r="AT98" s="51"/>
      <c r="AU98" s="51"/>
      <c r="AV98" s="51"/>
      <c r="AW98" s="51"/>
      <c r="AX98" s="51"/>
      <c r="AY98" s="1"/>
      <c r="AZ98" s="1"/>
      <c r="BA98" s="1"/>
    </row>
    <row r="99" spans="1:53" ht="15.75">
      <c r="A99" s="51"/>
      <c r="B99" s="51"/>
      <c r="C99" s="51"/>
      <c r="D99" s="51"/>
      <c r="E99" s="51"/>
      <c r="F99" s="51"/>
      <c r="G99" s="51"/>
      <c r="H99" s="51"/>
      <c r="I99" s="51"/>
      <c r="J99" s="51"/>
      <c r="K99" s="51"/>
      <c r="L99" s="51"/>
      <c r="M99" s="51"/>
      <c r="N99" s="51"/>
      <c r="O99" s="51"/>
      <c r="P99" s="51"/>
      <c r="Q99" s="51"/>
      <c r="U99" s="51"/>
      <c r="V99" s="51"/>
      <c r="W99" s="51"/>
      <c r="X99" s="51"/>
      <c r="Y99" s="51"/>
      <c r="Z99" s="51"/>
      <c r="AA99" s="51"/>
      <c r="AB99" s="51"/>
      <c r="AC99" s="51"/>
      <c r="AD99" s="51"/>
      <c r="AE99" s="51"/>
      <c r="AF99" s="51"/>
      <c r="AG99" s="51"/>
      <c r="AH99" s="51"/>
      <c r="AI99" s="51"/>
      <c r="AJ99" s="51"/>
      <c r="AK99" s="51"/>
      <c r="AL99" s="51"/>
      <c r="AM99" s="51"/>
      <c r="AN99" s="51"/>
      <c r="AO99" s="51"/>
      <c r="AP99" s="51"/>
      <c r="AQ99" s="51"/>
      <c r="AR99" s="51"/>
      <c r="AS99" s="51"/>
      <c r="AT99" s="51"/>
      <c r="AU99" s="51"/>
      <c r="AV99" s="51"/>
      <c r="AW99" s="51"/>
      <c r="AX99" s="51"/>
      <c r="AY99" s="1"/>
      <c r="AZ99" s="1"/>
      <c r="BA99" s="1"/>
    </row>
    <row r="100" spans="1:53" ht="15.75">
      <c r="A100" s="51"/>
      <c r="B100" s="51"/>
      <c r="C100" s="51"/>
      <c r="D100" s="51"/>
      <c r="E100" s="51"/>
      <c r="F100" s="51"/>
      <c r="G100" s="51"/>
      <c r="H100" s="51"/>
      <c r="I100" s="51"/>
      <c r="J100" s="51"/>
      <c r="K100" s="51"/>
      <c r="L100" s="51"/>
      <c r="M100" s="51"/>
      <c r="N100" s="51"/>
      <c r="O100" s="51"/>
      <c r="P100" s="51"/>
      <c r="Q100" s="51"/>
      <c r="U100" s="51"/>
      <c r="V100" s="51"/>
      <c r="W100" s="51"/>
      <c r="X100" s="51"/>
      <c r="Y100" s="51"/>
      <c r="Z100" s="51"/>
      <c r="AA100" s="51"/>
      <c r="AB100" s="51"/>
      <c r="AC100" s="51"/>
      <c r="AD100" s="51"/>
      <c r="AE100" s="51"/>
      <c r="AF100" s="51"/>
      <c r="AG100" s="51"/>
      <c r="AH100" s="51"/>
      <c r="AI100" s="51"/>
      <c r="AJ100" s="51"/>
      <c r="AK100" s="51"/>
      <c r="AL100" s="51"/>
      <c r="AM100" s="51"/>
      <c r="AN100" s="51"/>
      <c r="AO100" s="51"/>
      <c r="AP100" s="51"/>
      <c r="AQ100" s="51"/>
      <c r="AR100" s="51"/>
      <c r="AS100" s="51"/>
      <c r="AT100" s="51"/>
      <c r="AU100" s="51"/>
      <c r="AV100" s="51"/>
      <c r="AW100" s="51"/>
      <c r="AX100" s="51"/>
      <c r="AY100" s="51"/>
      <c r="AZ100" s="51"/>
      <c r="BA100" s="51"/>
    </row>
    <row r="101" spans="1:53" ht="15.75">
      <c r="A101" s="51"/>
      <c r="B101" s="51"/>
      <c r="C101" s="51"/>
      <c r="D101" s="51"/>
      <c r="E101" s="51"/>
      <c r="F101" s="51"/>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c r="AT101" s="51"/>
      <c r="AU101" s="51"/>
      <c r="AV101" s="51"/>
      <c r="AW101" s="51"/>
      <c r="AX101" s="51"/>
      <c r="AY101" s="51"/>
      <c r="AZ101" s="51"/>
      <c r="BA101" s="51"/>
    </row>
    <row r="102" spans="1:53" ht="15.75">
      <c r="A102" s="51"/>
      <c r="B102" s="51"/>
      <c r="C102" s="51"/>
      <c r="D102" s="51"/>
      <c r="E102" s="51"/>
      <c r="F102" s="51"/>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c r="AT102" s="51"/>
      <c r="AU102" s="51"/>
      <c r="AV102" s="51"/>
      <c r="AW102" s="51"/>
      <c r="AX102" s="51"/>
      <c r="AY102" s="51"/>
      <c r="AZ102" s="51"/>
      <c r="BA102" s="51"/>
    </row>
    <row r="103" spans="1:53" ht="15.75">
      <c r="A103" s="51"/>
      <c r="B103" s="51"/>
      <c r="C103" s="51"/>
      <c r="D103" s="51"/>
      <c r="E103" s="51"/>
      <c r="F103" s="51"/>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c r="AJ103" s="51"/>
      <c r="AK103" s="51"/>
      <c r="AL103" s="51"/>
      <c r="AM103" s="51"/>
      <c r="AN103" s="51"/>
      <c r="AO103" s="51"/>
      <c r="AP103" s="51"/>
      <c r="AQ103" s="51"/>
      <c r="AR103" s="51"/>
      <c r="AS103" s="51"/>
      <c r="AT103" s="51"/>
      <c r="AU103" s="51"/>
      <c r="AV103" s="51"/>
      <c r="AW103" s="51"/>
      <c r="AX103" s="51"/>
      <c r="AY103" s="51"/>
      <c r="AZ103" s="51"/>
      <c r="BA103" s="51"/>
    </row>
    <row r="104" spans="1:53" ht="15.75">
      <c r="A104" s="51"/>
      <c r="B104" s="51"/>
      <c r="C104" s="51"/>
      <c r="D104" s="51"/>
      <c r="E104" s="51"/>
      <c r="F104" s="51"/>
      <c r="G104" s="51"/>
      <c r="H104" s="51"/>
      <c r="I104" s="51"/>
      <c r="J104" s="51"/>
      <c r="K104" s="51"/>
      <c r="L104" s="51"/>
      <c r="M104" s="51"/>
      <c r="N104" s="51"/>
      <c r="O104" s="51"/>
      <c r="P104" s="51"/>
      <c r="Q104" s="51"/>
      <c r="R104" s="51"/>
      <c r="S104" s="51"/>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c r="AT104" s="51"/>
      <c r="AU104" s="51"/>
      <c r="AV104" s="51"/>
      <c r="AW104" s="51"/>
      <c r="AX104" s="51"/>
      <c r="AY104" s="51"/>
      <c r="AZ104" s="51"/>
      <c r="BA104" s="51"/>
    </row>
    <row r="105" spans="1:53" ht="15.75">
      <c r="A105" s="51"/>
      <c r="B105" s="51"/>
      <c r="C105" s="51"/>
      <c r="D105" s="51"/>
      <c r="E105" s="51"/>
      <c r="F105" s="51"/>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c r="AD105" s="51"/>
      <c r="AE105" s="51"/>
      <c r="AF105" s="51"/>
      <c r="AG105" s="51"/>
      <c r="AH105" s="51"/>
      <c r="AI105" s="51"/>
      <c r="AJ105" s="51"/>
      <c r="AK105" s="51"/>
      <c r="AL105" s="51"/>
      <c r="AM105" s="51"/>
      <c r="AN105" s="51"/>
      <c r="AO105" s="51"/>
      <c r="AP105" s="51"/>
      <c r="AQ105" s="51"/>
      <c r="AR105" s="51"/>
      <c r="AS105" s="51"/>
      <c r="AT105" s="51"/>
      <c r="AU105" s="51"/>
      <c r="AV105" s="51"/>
      <c r="AW105" s="51"/>
      <c r="AX105" s="51"/>
      <c r="AY105" s="51"/>
      <c r="AZ105" s="51"/>
      <c r="BA105" s="51"/>
    </row>
    <row r="106" spans="1:53" ht="15.75">
      <c r="A106" s="51"/>
      <c r="B106" s="51"/>
      <c r="C106" s="51"/>
      <c r="D106" s="51"/>
      <c r="E106" s="51"/>
      <c r="F106" s="51"/>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c r="AV106" s="51"/>
      <c r="AW106" s="51"/>
      <c r="AX106" s="51"/>
      <c r="AY106" s="51"/>
      <c r="AZ106" s="51"/>
      <c r="BA106" s="51"/>
    </row>
    <row r="107" spans="1:53" ht="15.75">
      <c r="A107" s="51"/>
      <c r="B107" s="51"/>
      <c r="C107" s="51"/>
      <c r="D107" s="51"/>
      <c r="E107" s="51"/>
      <c r="F107" s="51"/>
      <c r="G107" s="51"/>
      <c r="H107" s="51"/>
      <c r="I107" s="5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c r="AV107" s="51"/>
      <c r="AW107" s="51"/>
      <c r="AX107" s="51"/>
      <c r="AY107" s="51"/>
      <c r="AZ107" s="51"/>
      <c r="BA107" s="51"/>
    </row>
    <row r="108" spans="1:53" ht="15.75">
      <c r="A108" s="51"/>
      <c r="B108" s="51"/>
      <c r="C108" s="51"/>
      <c r="D108" s="51"/>
      <c r="E108" s="51"/>
      <c r="F108" s="51"/>
      <c r="G108" s="51"/>
      <c r="H108" s="51"/>
      <c r="I108" s="5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c r="AV108" s="51"/>
      <c r="AW108" s="51"/>
      <c r="AX108" s="51"/>
      <c r="AY108" s="51"/>
      <c r="AZ108" s="51"/>
      <c r="BA108" s="51"/>
    </row>
    <row r="109" spans="1:53" ht="15.75">
      <c r="A109" s="51"/>
      <c r="B109" s="51"/>
      <c r="C109" s="51"/>
      <c r="D109" s="51"/>
      <c r="E109" s="51"/>
      <c r="F109" s="51"/>
      <c r="G109" s="51"/>
      <c r="H109" s="51"/>
      <c r="I109" s="5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c r="AV109" s="51"/>
      <c r="AW109" s="51"/>
      <c r="AX109" s="51"/>
      <c r="AY109" s="51"/>
      <c r="AZ109" s="51"/>
      <c r="BA109" s="51"/>
    </row>
    <row r="110" spans="1:53" ht="15.75">
      <c r="A110" s="51"/>
      <c r="B110" s="51"/>
      <c r="C110" s="51"/>
      <c r="D110" s="51"/>
      <c r="E110" s="51"/>
      <c r="F110" s="51"/>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c r="AV110" s="51"/>
      <c r="AW110" s="51"/>
      <c r="AX110" s="51"/>
      <c r="AY110" s="51"/>
      <c r="AZ110" s="51"/>
      <c r="BA110" s="51"/>
    </row>
    <row r="111" spans="1:53" ht="15.75">
      <c r="A111" s="51"/>
      <c r="B111" s="51"/>
      <c r="C111" s="51"/>
      <c r="D111" s="51"/>
      <c r="E111" s="51"/>
      <c r="F111" s="51"/>
      <c r="G111" s="51"/>
      <c r="H111" s="51"/>
      <c r="I111" s="5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c r="AV111" s="51"/>
      <c r="AW111" s="51"/>
      <c r="AX111" s="51"/>
      <c r="AY111" s="51"/>
      <c r="AZ111" s="51"/>
      <c r="BA111" s="51"/>
    </row>
    <row r="112" spans="1:53" ht="15.75">
      <c r="A112" s="51"/>
      <c r="B112" s="51"/>
      <c r="C112" s="51"/>
      <c r="D112" s="51"/>
      <c r="E112" s="51"/>
      <c r="F112" s="51"/>
      <c r="G112" s="51"/>
      <c r="H112" s="51"/>
      <c r="I112" s="5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c r="AV112" s="51"/>
      <c r="AW112" s="51"/>
      <c r="AX112" s="51"/>
      <c r="AY112" s="51"/>
      <c r="AZ112" s="51"/>
      <c r="BA112" s="51"/>
    </row>
    <row r="113" spans="1:53" ht="15.75">
      <c r="A113" s="51"/>
      <c r="B113" s="51"/>
      <c r="C113" s="51"/>
      <c r="D113" s="51"/>
      <c r="E113" s="51"/>
      <c r="F113" s="51"/>
      <c r="G113" s="51"/>
      <c r="H113" s="51"/>
      <c r="I113" s="5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c r="AV113" s="51"/>
      <c r="AW113" s="51"/>
      <c r="AX113" s="51"/>
      <c r="AY113" s="51"/>
      <c r="AZ113" s="51"/>
      <c r="BA113" s="51"/>
    </row>
    <row r="114" spans="1:53" ht="15.75">
      <c r="A114" s="51"/>
      <c r="B114" s="51"/>
      <c r="C114" s="51"/>
      <c r="D114" s="51"/>
      <c r="E114" s="51"/>
      <c r="F114" s="51"/>
      <c r="G114" s="51"/>
      <c r="H114" s="51"/>
      <c r="I114" s="5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c r="AV114" s="51"/>
      <c r="AW114" s="51"/>
      <c r="AX114" s="51"/>
      <c r="AY114" s="51"/>
      <c r="AZ114" s="51"/>
      <c r="BA114" s="51"/>
    </row>
    <row r="115" spans="1:53" ht="15.75">
      <c r="A115" s="51"/>
      <c r="B115" s="51"/>
      <c r="C115" s="51"/>
      <c r="D115" s="51"/>
      <c r="E115" s="51"/>
      <c r="F115" s="51"/>
      <c r="G115" s="51"/>
      <c r="H115" s="51"/>
      <c r="I115" s="5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c r="AV115" s="51"/>
      <c r="AW115" s="51"/>
      <c r="AX115" s="51"/>
      <c r="AY115" s="51"/>
      <c r="AZ115" s="51"/>
      <c r="BA115" s="51"/>
    </row>
    <row r="116" spans="1:53" ht="15.75">
      <c r="A116" s="51"/>
      <c r="B116" s="51"/>
      <c r="C116" s="51"/>
      <c r="D116" s="51"/>
      <c r="E116" s="51"/>
      <c r="F116" s="51"/>
      <c r="G116" s="51"/>
      <c r="H116" s="51"/>
      <c r="I116" s="51"/>
      <c r="J116" s="51"/>
      <c r="K116" s="51"/>
      <c r="L116" s="51"/>
      <c r="M116" s="51"/>
      <c r="N116" s="51"/>
      <c r="O116" s="51"/>
      <c r="P116" s="51"/>
      <c r="Q116" s="51"/>
      <c r="R116" s="51"/>
      <c r="S116" s="51"/>
      <c r="T116" s="51"/>
      <c r="U116" s="51"/>
      <c r="V116" s="51"/>
      <c r="W116" s="51"/>
      <c r="X116" s="51"/>
      <c r="Y116" s="51"/>
      <c r="Z116" s="51"/>
      <c r="AA116" s="51"/>
      <c r="AB116" s="51"/>
      <c r="AC116" s="51"/>
      <c r="AD116" s="51"/>
      <c r="AE116" s="51"/>
      <c r="AF116" s="51"/>
      <c r="AG116" s="51"/>
      <c r="AH116" s="51"/>
      <c r="AI116" s="51"/>
      <c r="AJ116" s="51"/>
      <c r="AK116" s="51"/>
      <c r="AL116" s="51"/>
      <c r="AM116" s="51"/>
      <c r="AN116" s="51"/>
      <c r="AO116" s="51"/>
      <c r="AP116" s="51"/>
      <c r="AQ116" s="51"/>
      <c r="AR116" s="51"/>
      <c r="AS116" s="51"/>
      <c r="AT116" s="51"/>
      <c r="AU116" s="51"/>
      <c r="AV116" s="51"/>
      <c r="AW116" s="51"/>
      <c r="AX116" s="51"/>
      <c r="AY116" s="51"/>
      <c r="AZ116" s="51"/>
      <c r="BA116" s="51"/>
    </row>
    <row r="117" spans="1:53" ht="15.75">
      <c r="A117" s="51"/>
      <c r="B117" s="51"/>
      <c r="C117" s="51"/>
      <c r="D117" s="51"/>
      <c r="E117" s="51"/>
      <c r="F117" s="51"/>
      <c r="G117" s="51"/>
      <c r="H117" s="51"/>
      <c r="I117" s="51"/>
      <c r="J117" s="51"/>
      <c r="K117" s="51"/>
      <c r="L117" s="51"/>
      <c r="M117" s="51"/>
      <c r="N117" s="51"/>
      <c r="O117" s="51"/>
      <c r="P117" s="51"/>
      <c r="Q117" s="51"/>
      <c r="R117" s="51"/>
      <c r="S117" s="51"/>
      <c r="T117" s="51"/>
      <c r="U117" s="51"/>
      <c r="V117" s="51"/>
      <c r="W117" s="51"/>
      <c r="X117" s="51"/>
      <c r="Y117" s="51"/>
      <c r="Z117" s="51"/>
      <c r="AA117" s="51"/>
      <c r="AB117" s="51"/>
      <c r="AC117" s="51"/>
      <c r="AD117" s="51"/>
      <c r="AE117" s="51"/>
      <c r="AF117" s="51"/>
      <c r="AG117" s="51"/>
      <c r="AH117" s="51"/>
      <c r="AI117" s="51"/>
      <c r="AJ117" s="51"/>
      <c r="AK117" s="51"/>
      <c r="AL117" s="51"/>
      <c r="AM117" s="51"/>
      <c r="AN117" s="51"/>
      <c r="AO117" s="51"/>
      <c r="AP117" s="51"/>
      <c r="AQ117" s="51"/>
      <c r="AR117" s="51"/>
      <c r="AS117" s="51"/>
      <c r="AT117" s="51"/>
      <c r="AU117" s="51"/>
      <c r="AV117" s="51"/>
      <c r="AW117" s="51"/>
      <c r="AX117" s="51"/>
      <c r="AY117" s="51"/>
      <c r="AZ117" s="51"/>
      <c r="BA117" s="51"/>
    </row>
    <row r="118" spans="1:53" ht="15.75">
      <c r="A118" s="51"/>
      <c r="B118" s="51"/>
      <c r="C118" s="51"/>
      <c r="D118" s="51"/>
      <c r="E118" s="51"/>
      <c r="F118" s="51"/>
      <c r="G118" s="51"/>
      <c r="H118" s="51"/>
      <c r="I118" s="51"/>
      <c r="J118" s="51"/>
      <c r="K118" s="51"/>
      <c r="L118" s="51"/>
      <c r="M118" s="51"/>
      <c r="N118" s="51"/>
      <c r="O118" s="51"/>
      <c r="P118" s="51"/>
      <c r="Q118" s="51"/>
      <c r="R118" s="51"/>
      <c r="S118" s="51"/>
      <c r="T118" s="51"/>
      <c r="U118" s="51"/>
      <c r="V118" s="51"/>
      <c r="W118" s="51"/>
      <c r="X118" s="51"/>
      <c r="Y118" s="51"/>
      <c r="Z118" s="51"/>
      <c r="AA118" s="51"/>
      <c r="AB118" s="51"/>
      <c r="AC118" s="51"/>
      <c r="AD118" s="51"/>
      <c r="AE118" s="51"/>
      <c r="AF118" s="51"/>
      <c r="AG118" s="51"/>
      <c r="AH118" s="51"/>
      <c r="AI118" s="51"/>
      <c r="AJ118" s="51"/>
      <c r="AK118" s="51"/>
      <c r="AL118" s="51"/>
      <c r="AM118" s="51"/>
      <c r="AN118" s="51"/>
      <c r="AO118" s="51"/>
      <c r="AP118" s="51"/>
      <c r="AQ118" s="51"/>
      <c r="AR118" s="51"/>
      <c r="AS118" s="51"/>
      <c r="AT118" s="51"/>
      <c r="AU118" s="51"/>
      <c r="AV118" s="51"/>
      <c r="AW118" s="51"/>
      <c r="AX118" s="51"/>
      <c r="AY118" s="51"/>
      <c r="AZ118" s="51"/>
      <c r="BA118" s="51"/>
    </row>
    <row r="119" spans="1:53" ht="15.75">
      <c r="A119" s="51"/>
      <c r="B119" s="51"/>
      <c r="C119" s="51"/>
      <c r="D119" s="51"/>
      <c r="E119" s="51"/>
      <c r="F119" s="51"/>
      <c r="G119" s="51"/>
      <c r="H119" s="51"/>
      <c r="I119" s="51"/>
      <c r="J119" s="51"/>
      <c r="K119" s="51"/>
      <c r="L119" s="51"/>
      <c r="M119" s="51"/>
      <c r="N119" s="51"/>
      <c r="O119" s="51"/>
      <c r="P119" s="51"/>
      <c r="Q119" s="51"/>
      <c r="R119" s="51"/>
      <c r="S119" s="51"/>
      <c r="T119" s="51"/>
      <c r="U119" s="51"/>
      <c r="V119" s="51"/>
      <c r="W119" s="51"/>
      <c r="X119" s="51"/>
      <c r="Y119" s="51"/>
      <c r="Z119" s="51"/>
      <c r="AA119" s="51"/>
      <c r="AB119" s="51"/>
      <c r="AC119" s="51"/>
      <c r="AD119" s="51"/>
      <c r="AE119" s="51"/>
      <c r="AF119" s="51"/>
      <c r="AG119" s="51"/>
      <c r="AH119" s="51"/>
      <c r="AI119" s="51"/>
      <c r="AJ119" s="51"/>
      <c r="AK119" s="51"/>
      <c r="AL119" s="51"/>
      <c r="AM119" s="51"/>
      <c r="AN119" s="51"/>
      <c r="AO119" s="51"/>
      <c r="AP119" s="51"/>
      <c r="AQ119" s="51"/>
      <c r="AR119" s="51"/>
      <c r="AS119" s="51"/>
      <c r="AT119" s="51"/>
      <c r="AU119" s="51"/>
      <c r="AV119" s="51"/>
      <c r="AW119" s="51"/>
      <c r="AX119" s="51"/>
      <c r="AY119" s="51"/>
      <c r="AZ119" s="51"/>
      <c r="BA119" s="51"/>
    </row>
    <row r="120" spans="1:53" ht="15.75">
      <c r="A120" s="51"/>
      <c r="B120" s="51"/>
      <c r="C120" s="51"/>
      <c r="D120" s="51"/>
      <c r="E120" s="51"/>
      <c r="F120" s="51"/>
      <c r="G120" s="51"/>
      <c r="H120" s="51"/>
      <c r="I120" s="51"/>
      <c r="J120" s="51"/>
      <c r="K120" s="51"/>
      <c r="L120" s="51"/>
      <c r="M120" s="51"/>
      <c r="N120" s="51"/>
      <c r="O120" s="51"/>
      <c r="P120" s="51"/>
      <c r="Q120" s="51"/>
      <c r="R120" s="51"/>
      <c r="S120" s="51"/>
      <c r="T120" s="51"/>
      <c r="U120" s="51"/>
      <c r="V120" s="51"/>
      <c r="W120" s="51"/>
      <c r="X120" s="51"/>
      <c r="Y120" s="51"/>
      <c r="Z120" s="51"/>
      <c r="AA120" s="51"/>
      <c r="AB120" s="51"/>
      <c r="AC120" s="51"/>
      <c r="AD120" s="51"/>
      <c r="AE120" s="51"/>
      <c r="AF120" s="51"/>
      <c r="AG120" s="51"/>
      <c r="AH120" s="51"/>
      <c r="AI120" s="51"/>
      <c r="AJ120" s="51"/>
      <c r="AK120" s="51"/>
      <c r="AL120" s="51"/>
      <c r="AM120" s="51"/>
      <c r="AN120" s="51"/>
      <c r="AO120" s="51"/>
      <c r="AP120" s="51"/>
      <c r="AQ120" s="51"/>
      <c r="AR120" s="51"/>
      <c r="AS120" s="51"/>
      <c r="AT120" s="51"/>
      <c r="AU120" s="51"/>
      <c r="AV120" s="51"/>
      <c r="AW120" s="51"/>
      <c r="AX120" s="51"/>
      <c r="AY120" s="51"/>
      <c r="AZ120" s="51"/>
      <c r="BA120" s="51"/>
    </row>
    <row r="121" spans="1:53" ht="15.75">
      <c r="A121" s="51"/>
      <c r="B121" s="51"/>
      <c r="C121" s="51"/>
      <c r="D121" s="51"/>
      <c r="E121" s="51"/>
      <c r="F121" s="51"/>
      <c r="G121" s="51"/>
      <c r="H121" s="51"/>
      <c r="I121" s="51"/>
      <c r="J121" s="51"/>
      <c r="K121" s="51"/>
      <c r="L121" s="51"/>
      <c r="M121" s="51"/>
      <c r="N121" s="51"/>
      <c r="O121" s="51"/>
      <c r="P121" s="51"/>
      <c r="Q121" s="51"/>
      <c r="R121" s="51"/>
      <c r="S121" s="51"/>
      <c r="T121" s="51"/>
      <c r="U121" s="51"/>
      <c r="V121" s="51"/>
      <c r="W121" s="51"/>
      <c r="X121" s="51"/>
      <c r="Y121" s="51"/>
      <c r="Z121" s="51"/>
      <c r="AA121" s="51"/>
      <c r="AB121" s="51"/>
      <c r="AC121" s="51"/>
      <c r="AD121" s="51"/>
      <c r="AE121" s="51"/>
      <c r="AF121" s="51"/>
      <c r="AG121" s="51"/>
      <c r="AH121" s="51"/>
      <c r="AI121" s="51"/>
      <c r="AJ121" s="51"/>
      <c r="AK121" s="51"/>
      <c r="AL121" s="51"/>
      <c r="AM121" s="51"/>
      <c r="AN121" s="51"/>
      <c r="AO121" s="51"/>
      <c r="AP121" s="51"/>
      <c r="AQ121" s="51"/>
      <c r="AR121" s="51"/>
      <c r="AS121" s="51"/>
      <c r="AT121" s="51"/>
      <c r="AU121" s="51"/>
      <c r="AV121" s="51"/>
      <c r="AW121" s="51"/>
      <c r="AX121" s="51"/>
      <c r="AY121" s="51"/>
      <c r="AZ121" s="51"/>
      <c r="BA121" s="51"/>
    </row>
    <row r="122" spans="1:53" ht="15.75">
      <c r="A122" s="51"/>
      <c r="B122" s="51"/>
      <c r="C122" s="51"/>
      <c r="D122" s="51"/>
      <c r="E122" s="51"/>
      <c r="F122" s="51"/>
      <c r="G122" s="51"/>
      <c r="H122" s="51"/>
      <c r="I122" s="51"/>
      <c r="J122" s="51"/>
      <c r="K122" s="51"/>
      <c r="L122" s="51"/>
      <c r="M122" s="51"/>
      <c r="N122" s="51"/>
      <c r="O122" s="51"/>
      <c r="P122" s="51"/>
      <c r="Q122" s="51"/>
      <c r="R122" s="51"/>
      <c r="S122" s="51"/>
      <c r="T122" s="51"/>
      <c r="U122" s="51"/>
      <c r="V122" s="51"/>
      <c r="W122" s="51"/>
      <c r="X122" s="51"/>
      <c r="Y122" s="51"/>
      <c r="Z122" s="51"/>
      <c r="AA122" s="51"/>
      <c r="AB122" s="51"/>
      <c r="AC122" s="51"/>
      <c r="AD122" s="51"/>
      <c r="AE122" s="51"/>
      <c r="AF122" s="51"/>
      <c r="AG122" s="51"/>
      <c r="AH122" s="51"/>
      <c r="AI122" s="51"/>
      <c r="AJ122" s="51"/>
      <c r="AK122" s="51"/>
      <c r="AL122" s="51"/>
      <c r="AM122" s="51"/>
      <c r="AN122" s="51"/>
      <c r="AO122" s="51"/>
      <c r="AP122" s="51"/>
      <c r="AQ122" s="51"/>
      <c r="AR122" s="51"/>
      <c r="AS122" s="51"/>
      <c r="AT122" s="51"/>
      <c r="AU122" s="51"/>
      <c r="AV122" s="51"/>
      <c r="AW122" s="51"/>
      <c r="AX122" s="51"/>
      <c r="AY122" s="51"/>
      <c r="AZ122" s="51"/>
      <c r="BA122" s="51"/>
    </row>
    <row r="123" spans="1:53" ht="15.75">
      <c r="AH123" s="51"/>
      <c r="AI123" s="51"/>
      <c r="AJ123" s="51"/>
    </row>
    <row r="124" spans="1:53" ht="15.75">
      <c r="AH124" s="51"/>
      <c r="AI124" s="51"/>
      <c r="AJ124" s="51"/>
    </row>
  </sheetData>
  <phoneticPr fontId="8" type="noConversion"/>
  <dataValidations count="14">
    <dataValidation type="list" allowBlank="1" showInputMessage="1" sqref="AA19">
      <formula1>'[1]6735_coolers'!A2:A134</formula1>
    </dataValidation>
    <dataValidation type="list" allowBlank="1" showInputMessage="1" sqref="C12">
      <formula1>'[4]6755_coolers'!A2:A134</formula1>
    </dataValidation>
    <dataValidation type="list" allowBlank="1" showInputMessage="1" showErrorMessage="1" sqref="C13:C15 AA20:AA22">
      <formula1>"NULL, CPU0 loading(%), Wifi usage(Kb/s), EXIT, mtktscpu, mtktsabb, mtktspmic, mtktsbattery, mtktspa, mtktswmt, mtktsAP, mtktsbuck, mtktsbattery2, mtktsxtal"</formula1>
    </dataValidation>
    <dataValidation type="list" allowBlank="1" showInputMessage="1" sqref="AA5">
      <formula1>'[3]6755_coolers'!A2:A134</formula1>
    </dataValidation>
    <dataValidation type="list" allowBlank="1" showInputMessage="1" sqref="AE5">
      <formula1>'[2]6755_coolers'!A2:A134</formula1>
    </dataValidation>
    <dataValidation type="list" allowBlank="1" showInputMessage="1" showErrorMessage="1" sqref="AE1">
      <formula1>'[2]6755_tz'!A2:A97</formula1>
    </dataValidation>
    <dataValidation type="list" allowBlank="1" showInputMessage="1" showErrorMessage="1" sqref="AI69:AI71 AY20:AY22 AE55:AE57 AE48:AE50 AE41:AE43 AE34:AE36 AE27:AE29 AE20:AE22 AE69:AE71 AE13:AE15 AE62:AE64 AI62:AI64 AU62:AU64 O13:O15 O69:O71 O20:O22 O27:O29 O34:O36 O41:O43 O6:O8 O48:O50 O55:O57 O62:O64 C69:C71 C34:C36 C6:C8 C48:C50 C55:C57 C62:C64 S13:S15 S69:S71 S20:S22 S27:S29 S34:S36 S41:S43 S6:S8 S48:S50 S55:S57 S62:S64 AY6:AY8 G69:G71 G20:G22 K69:K71 G27:G29 G34:G36 G41:G43 AQ6:AQ8 K34:K36 G6:G8 G48:G50 G55:G57 K41:K43 AY55:AY57 G62:G64 K48:K50 K55:K57 K62:K64 W13:W15 W69:W71 W20:W22 W27:W29 W34:W36 W41:W43 W6:W8 W48:W50 W55:W57 W62:W64 C27:C29 AU6:AU8 AM6:AM8 G13:G15 AA55:AA57 AA48:AA50 AI13:AI15 AI20:AI22 C20:C22 AY62:AY64 AA69:AA71 AY69:AY71 AA62:AA64 AY48:AY50 AY41:AY43 AY34:AY36 AY27:AY29 AY13:AY15 AA41:AA43 AA6:AA8 C41:C43 AA27:AA29 AE6:AE8 AM55:AM57 AM48:AM50 AM41:AM43 AM34:AM36 AM27:AM29 AM20:AM22 AM69:AM71 AM13:AM15 AM62:AM64 AA34:AA36 AQ55:AQ57 AQ48:AQ50 AQ41:AQ43 AQ34:AQ36 AQ27:AQ29 AQ20:AQ22 AQ69:AQ71 AQ13:AQ15 AQ62:AQ64 AI48:AI50 AU55:AU57 AU48:AU50 AU41:AU43 AU34:AU36 AU27:AU29 AU20:AU22 AU69:AU71 AU13:AU15 AI6:AI8 AI55:AI57 AI41:AI43 AI34:AI36 AI27:AI29 AA13:AA15 K13:K15 K20:K22 K6:K8 K27:K29">
      <formula1>"NULL, CPU0 loading(%), Wifi usage(Kb/s), &lt; Mobile usage(Kb/s), EXIT, mtktscpu, mtktsabb, mtktspmic, mtktsbattery, mtktspa, mtktswmt, mtktsAP, mtktsbuck, mtktsbattery2, mtktsxtal"</formula1>
    </dataValidation>
    <dataValidation type="list" allowBlank="1" showInputMessage="1" showErrorMessage="1" sqref="AF1 D1 H1 T1 X1 P1 AB1 X77 AJ1 AN1 AR1 H77 L77 AZ77 T77 AB77 P77 D77 AV1 AZ1 AV77 AF77 AJ77 AN77 AR77 L1">
      <formula1>"ENABLE,DISABLE"</formula1>
    </dataValidation>
    <dataValidation type="decimal" allowBlank="1" showInputMessage="1" showErrorMessage="1" errorTitle="Invalid" error="Must be 0 or 1" promptTitle="kernel log" prompt="[1, max step]" sqref="AN78 AR78 AV78">
      <formula1>1</formula1>
      <formula2>5</formula2>
    </dataValidation>
    <dataValidation type="decimal" allowBlank="1" showInputMessage="1" showErrorMessage="1" errorTitle="Invalid" error="Must between [-1, 65535]" promptTitle="Range" prompt="0 or between [100, 25500]" sqref="AN79:AN80 AR79:AR80 AV79:AV80 AJ79:AJ86">
      <formula1>0</formula1>
      <formula2>25500</formula2>
    </dataValidation>
    <dataValidation type="decimal" allowBlank="1" showInputMessage="1" showErrorMessage="1" errorTitle="Invalid" error="Must be 0 or 1" promptTitle="kernel log" prompt="0, off (default)_x000a_1, on" sqref="L78 AJ78">
      <formula1>0</formula1>
      <formula2>1</formula2>
    </dataValidation>
    <dataValidation type="decimal" allowBlank="1" showInputMessage="1" showErrorMessage="1" errorTitle="Invalid" error="Must between [-1, 65535]" promptTitle="Range" prompt="between [-1, 65535]" sqref="L79:L81">
      <formula1>-1</formula1>
      <formula2>65535</formula2>
    </dataValidation>
    <dataValidation type="list" allowBlank="1" showInputMessage="1" showErrorMessage="1" sqref="AU1 C1 G1 AY1 O1 S1 W1 AI1 AA1 AM1 AQ1 K1">
      <formula1>'6755_tz'!A2:A97</formula1>
    </dataValidation>
    <dataValidation type="list" allowBlank="1" showInputMessage="1" sqref="AE61 AE47 AE40 AE33 AE26 AE19 AE12 AE68 AI26 AU5 C5 C33 C47 C54 C61 C68 AU12 G5 G19 G26 G33 G40 G47 G54 G61 G68 AY19 AU68 AY26 AQ5 K33 K40 K47 K54 K61 K68 O12 O5 O19 O26 O33 O40 O47 O54 O61 O68 S12 S5 S19 S26 S33 S40 S47 S54 S61 S68 W12 W5 W19 W26 W33 W40 W47 W54 W61 W68 C40 AY47 G12 AA68 AA61 AA54 AA47 AI19 C19 AY12 AY68 C26 AY40 AY61 AY54 AA12 AA33 AA40 AY33 AY5 AE54 AI12 AM5 AM61 AM54 AM47 AM40 AM33 AM26 AM19 AM12 AM68 AA26 AQ61 AQ54 AQ47 AQ40 AQ33 AQ26 AQ19 AQ12 AQ68 AI47 AU61 AU54 AU47 AU40 AU33 AU26 AU19 AI5 AI61 AI54 AI40 AI33 AI68 K19 K12 K5 K26">
      <formula1>'6755_coolers'!A2:A137</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sheetPr codeName="Sheet92">
    <tabColor rgb="FFFF0000"/>
  </sheetPr>
  <dimension ref="A1:BA122"/>
  <sheetViews>
    <sheetView zoomScale="90" zoomScaleNormal="90" workbookViewId="0">
      <selection activeCell="Z2" sqref="Z2"/>
    </sheetView>
  </sheetViews>
  <sheetFormatPr defaultRowHeight="14.2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9.140625" style="7"/>
    <col min="54" max="16384" width="9.140625" style="1"/>
  </cols>
  <sheetData>
    <row r="1" spans="1:53" ht="57.75" customHeight="1">
      <c r="A1" s="1" t="s">
        <v>182</v>
      </c>
      <c r="B1" s="2" t="s">
        <v>35</v>
      </c>
      <c r="C1" s="3" t="s">
        <v>23</v>
      </c>
      <c r="D1" s="4" t="s">
        <v>36</v>
      </c>
      <c r="E1" s="5"/>
      <c r="F1" s="2" t="s">
        <v>35</v>
      </c>
      <c r="G1" s="3" t="s">
        <v>24</v>
      </c>
      <c r="H1" s="4" t="s">
        <v>36</v>
      </c>
      <c r="I1" s="5"/>
      <c r="J1" s="2" t="s">
        <v>35</v>
      </c>
      <c r="K1" s="3" t="s">
        <v>25</v>
      </c>
      <c r="L1" s="4" t="s">
        <v>36</v>
      </c>
      <c r="M1" s="6"/>
      <c r="N1" s="2" t="s">
        <v>35</v>
      </c>
      <c r="O1" s="3" t="s">
        <v>26</v>
      </c>
      <c r="P1" s="4" t="s">
        <v>36</v>
      </c>
      <c r="Q1" s="6"/>
      <c r="R1" s="2" t="s">
        <v>35</v>
      </c>
      <c r="S1" s="3" t="s">
        <v>34</v>
      </c>
      <c r="T1" s="4" t="s">
        <v>36</v>
      </c>
      <c r="U1" s="6"/>
      <c r="V1" s="2" t="s">
        <v>35</v>
      </c>
      <c r="W1" s="3" t="s">
        <v>27</v>
      </c>
      <c r="X1" s="4" t="s">
        <v>36</v>
      </c>
      <c r="Y1" s="6"/>
      <c r="Z1" s="2" t="s">
        <v>35</v>
      </c>
      <c r="AA1" s="3" t="s">
        <v>68</v>
      </c>
      <c r="AB1" s="4" t="s">
        <v>36</v>
      </c>
      <c r="AC1" s="6"/>
      <c r="AD1" s="2" t="s">
        <v>35</v>
      </c>
      <c r="AE1" s="3" t="s">
        <v>69</v>
      </c>
      <c r="AF1" s="4" t="s">
        <v>36</v>
      </c>
      <c r="AG1" s="6"/>
      <c r="AH1" s="2" t="s">
        <v>35</v>
      </c>
      <c r="AI1" s="3" t="s">
        <v>132</v>
      </c>
      <c r="AJ1" s="4" t="s">
        <v>36</v>
      </c>
      <c r="AK1" s="6"/>
      <c r="AL1" s="2" t="s">
        <v>35</v>
      </c>
      <c r="AM1" s="3" t="s">
        <v>128</v>
      </c>
      <c r="AN1" s="4" t="s">
        <v>36</v>
      </c>
      <c r="AO1" s="6"/>
      <c r="AP1" s="2" t="s">
        <v>35</v>
      </c>
      <c r="AQ1" s="3" t="s">
        <v>233</v>
      </c>
      <c r="AR1" s="4" t="s">
        <v>36</v>
      </c>
      <c r="AS1" s="6"/>
      <c r="AT1" s="2" t="s">
        <v>35</v>
      </c>
      <c r="AU1" s="3" t="s">
        <v>234</v>
      </c>
      <c r="AV1" s="4" t="s">
        <v>36</v>
      </c>
      <c r="AW1" s="6"/>
      <c r="AX1" s="2" t="s">
        <v>35</v>
      </c>
      <c r="AY1" s="3" t="s">
        <v>129</v>
      </c>
      <c r="AZ1" s="4" t="s">
        <v>36</v>
      </c>
      <c r="BA1" s="51"/>
    </row>
    <row r="2" spans="1:53" ht="30.75" customHeight="1">
      <c r="B2" s="2" t="s">
        <v>9</v>
      </c>
      <c r="C2" s="3">
        <v>2</v>
      </c>
      <c r="D2" s="8"/>
      <c r="E2" s="9"/>
      <c r="F2" s="2" t="s">
        <v>9</v>
      </c>
      <c r="G2" s="3">
        <v>1</v>
      </c>
      <c r="H2" s="8"/>
      <c r="I2" s="10"/>
      <c r="J2" s="2" t="s">
        <v>9</v>
      </c>
      <c r="K2" s="3">
        <v>1</v>
      </c>
      <c r="L2" s="8"/>
      <c r="M2" s="10"/>
      <c r="N2" s="2" t="s">
        <v>9</v>
      </c>
      <c r="O2" s="3">
        <v>1</v>
      </c>
      <c r="P2" s="8"/>
      <c r="Q2" s="10"/>
      <c r="R2" s="2" t="s">
        <v>9</v>
      </c>
      <c r="S2" s="3">
        <v>1</v>
      </c>
      <c r="T2" s="8"/>
      <c r="U2" s="10"/>
      <c r="V2" s="2" t="s">
        <v>9</v>
      </c>
      <c r="W2" s="3">
        <v>1</v>
      </c>
      <c r="X2" s="8"/>
      <c r="Y2" s="10"/>
      <c r="Z2" s="2" t="s">
        <v>9</v>
      </c>
      <c r="AA2" s="3">
        <v>3</v>
      </c>
      <c r="AB2" s="8"/>
      <c r="AC2" s="10"/>
      <c r="AD2" s="2" t="s">
        <v>9</v>
      </c>
      <c r="AE2" s="3">
        <v>1</v>
      </c>
      <c r="AF2" s="8"/>
      <c r="AG2" s="10"/>
      <c r="AH2" s="2" t="s">
        <v>9</v>
      </c>
      <c r="AI2" s="3">
        <v>7</v>
      </c>
      <c r="AJ2" s="46"/>
      <c r="AK2" s="10"/>
      <c r="AL2" s="2" t="s">
        <v>9</v>
      </c>
      <c r="AM2" s="3">
        <v>0</v>
      </c>
      <c r="AN2" s="8"/>
      <c r="AO2" s="10"/>
      <c r="AP2" s="2" t="s">
        <v>9</v>
      </c>
      <c r="AQ2" s="3">
        <v>0</v>
      </c>
      <c r="AR2" s="8"/>
      <c r="AS2" s="10"/>
      <c r="AT2" s="2" t="s">
        <v>9</v>
      </c>
      <c r="AU2" s="3">
        <v>0</v>
      </c>
      <c r="AV2" s="8"/>
      <c r="AW2" s="10"/>
      <c r="AX2" s="2" t="s">
        <v>9</v>
      </c>
      <c r="AY2" s="3">
        <v>0</v>
      </c>
      <c r="AZ2" s="8"/>
      <c r="BA2" s="51"/>
    </row>
    <row r="3" spans="1:53" ht="15" customHeight="1">
      <c r="A3" s="11"/>
      <c r="B3" s="12" t="s">
        <v>7</v>
      </c>
      <c r="C3" s="13">
        <v>117000</v>
      </c>
      <c r="D3" s="14"/>
      <c r="E3" s="9"/>
      <c r="F3" s="12" t="s">
        <v>7</v>
      </c>
      <c r="G3" s="13">
        <v>145000</v>
      </c>
      <c r="H3" s="14"/>
      <c r="I3" s="10"/>
      <c r="J3" s="12" t="s">
        <v>7</v>
      </c>
      <c r="K3" s="13">
        <v>60000</v>
      </c>
      <c r="L3" s="14"/>
      <c r="M3" s="10"/>
      <c r="N3" s="12" t="s">
        <v>7</v>
      </c>
      <c r="O3" s="13">
        <v>120000</v>
      </c>
      <c r="P3" s="14"/>
      <c r="Q3" s="10"/>
      <c r="R3" s="12" t="s">
        <v>7</v>
      </c>
      <c r="S3" s="13">
        <v>117000</v>
      </c>
      <c r="T3" s="14"/>
      <c r="U3" s="10"/>
      <c r="V3" s="12" t="s">
        <v>7</v>
      </c>
      <c r="W3" s="13">
        <v>120000</v>
      </c>
      <c r="X3" s="14"/>
      <c r="Y3" s="10"/>
      <c r="Z3" s="12" t="s">
        <v>7</v>
      </c>
      <c r="AA3" s="13">
        <v>100000</v>
      </c>
      <c r="AB3" s="14"/>
      <c r="AC3" s="10"/>
      <c r="AD3" s="12" t="s">
        <v>7</v>
      </c>
      <c r="AE3" s="13">
        <v>120000</v>
      </c>
      <c r="AF3" s="14"/>
      <c r="AG3" s="10"/>
      <c r="AH3" s="12" t="s">
        <v>7</v>
      </c>
      <c r="AI3" s="13">
        <v>120000</v>
      </c>
      <c r="AJ3" s="43"/>
      <c r="AK3" s="10"/>
      <c r="AL3" s="12" t="s">
        <v>7</v>
      </c>
      <c r="AM3" s="13">
        <v>0</v>
      </c>
      <c r="AN3" s="14"/>
      <c r="AO3" s="10"/>
      <c r="AP3" s="12" t="s">
        <v>7</v>
      </c>
      <c r="AQ3" s="13">
        <v>0</v>
      </c>
      <c r="AR3" s="14"/>
      <c r="AS3" s="10"/>
      <c r="AT3" s="12" t="s">
        <v>7</v>
      </c>
      <c r="AU3" s="13">
        <v>0</v>
      </c>
      <c r="AV3" s="14"/>
      <c r="AW3" s="10"/>
      <c r="AX3" s="12" t="s">
        <v>7</v>
      </c>
      <c r="AY3" s="13">
        <v>0</v>
      </c>
      <c r="AZ3" s="14"/>
      <c r="BA3" s="51"/>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15">
        <v>0</v>
      </c>
      <c r="AJ4" s="43"/>
      <c r="AK4" s="10"/>
      <c r="AL4" s="12" t="s">
        <v>6</v>
      </c>
      <c r="AM4" s="15">
        <v>0</v>
      </c>
      <c r="AN4" s="14"/>
      <c r="AO4" s="10"/>
      <c r="AP4" s="12" t="s">
        <v>6</v>
      </c>
      <c r="AQ4" s="15">
        <v>0</v>
      </c>
      <c r="AR4" s="14"/>
      <c r="AS4" s="10"/>
      <c r="AT4" s="12" t="s">
        <v>6</v>
      </c>
      <c r="AU4" s="15">
        <v>0</v>
      </c>
      <c r="AV4" s="14"/>
      <c r="AW4" s="10"/>
      <c r="AX4" s="12" t="s">
        <v>6</v>
      </c>
      <c r="AY4" s="15">
        <v>0</v>
      </c>
      <c r="AZ4" s="14"/>
      <c r="BA4" s="51"/>
    </row>
    <row r="5" spans="1:53" ht="15" customHeight="1">
      <c r="A5" s="11"/>
      <c r="B5" s="12" t="s">
        <v>5</v>
      </c>
      <c r="C5" s="13" t="s">
        <v>15</v>
      </c>
      <c r="D5" s="14"/>
      <c r="E5" s="9"/>
      <c r="F5" s="12" t="s">
        <v>5</v>
      </c>
      <c r="G5" s="13" t="s">
        <v>1</v>
      </c>
      <c r="H5" s="14"/>
      <c r="I5" s="10"/>
      <c r="J5" s="12" t="s">
        <v>5</v>
      </c>
      <c r="K5" s="13" t="s">
        <v>2</v>
      </c>
      <c r="L5" s="14"/>
      <c r="M5" s="10"/>
      <c r="N5" s="12" t="s">
        <v>5</v>
      </c>
      <c r="O5" s="13" t="s">
        <v>3</v>
      </c>
      <c r="P5" s="14"/>
      <c r="Q5" s="10"/>
      <c r="R5" s="12" t="s">
        <v>5</v>
      </c>
      <c r="S5" s="13" t="s">
        <v>0</v>
      </c>
      <c r="T5" s="14"/>
      <c r="U5" s="10"/>
      <c r="V5" s="12" t="s">
        <v>5</v>
      </c>
      <c r="W5" s="13" t="s">
        <v>16</v>
      </c>
      <c r="X5" s="14"/>
      <c r="Y5" s="10"/>
      <c r="Z5" s="12" t="s">
        <v>5</v>
      </c>
      <c r="AA5" s="13" t="s">
        <v>17</v>
      </c>
      <c r="AB5" s="14"/>
      <c r="AC5" s="10"/>
      <c r="AD5" s="12" t="s">
        <v>5</v>
      </c>
      <c r="AE5" s="13" t="s">
        <v>108</v>
      </c>
      <c r="AF5" s="14"/>
      <c r="AG5" s="10"/>
      <c r="AH5" s="12" t="s">
        <v>5</v>
      </c>
      <c r="AI5" s="13" t="s">
        <v>108</v>
      </c>
      <c r="AJ5" s="43"/>
      <c r="AK5" s="10"/>
      <c r="AL5" s="12" t="s">
        <v>5</v>
      </c>
      <c r="AM5" s="13" t="s">
        <v>4</v>
      </c>
      <c r="AN5" s="14"/>
      <c r="AO5" s="10"/>
      <c r="AP5" s="12" t="s">
        <v>5</v>
      </c>
      <c r="AQ5" s="13" t="s">
        <v>4</v>
      </c>
      <c r="AR5" s="14"/>
      <c r="AS5" s="10"/>
      <c r="AT5" s="12" t="s">
        <v>5</v>
      </c>
      <c r="AU5" s="13" t="s">
        <v>4</v>
      </c>
      <c r="AV5" s="14"/>
      <c r="AW5" s="10"/>
      <c r="AX5" s="12" t="s">
        <v>5</v>
      </c>
      <c r="AY5" s="13" t="s">
        <v>4</v>
      </c>
      <c r="AZ5" s="14"/>
      <c r="BA5" s="51"/>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4">
        <v>0</v>
      </c>
      <c r="AG6" s="10"/>
      <c r="AH6" s="12" t="s">
        <v>11</v>
      </c>
      <c r="AI6" s="15" t="s">
        <v>13</v>
      </c>
      <c r="AJ6" s="15">
        <v>0</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s="51"/>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s="51"/>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s="51"/>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s="51"/>
    </row>
    <row r="10" spans="1:53" ht="15" customHeight="1">
      <c r="A10" s="11"/>
      <c r="B10" s="12" t="s">
        <v>7</v>
      </c>
      <c r="C10" s="44">
        <v>67000</v>
      </c>
      <c r="D10" s="14"/>
      <c r="E10" s="10"/>
      <c r="F10" s="12" t="s">
        <v>7</v>
      </c>
      <c r="G10" s="13">
        <v>0</v>
      </c>
      <c r="H10" s="14"/>
      <c r="I10" s="10"/>
      <c r="J10" s="12" t="s">
        <v>7</v>
      </c>
      <c r="K10" s="13">
        <v>0</v>
      </c>
      <c r="L10" s="14"/>
      <c r="M10" s="10"/>
      <c r="N10" s="12" t="s">
        <v>7</v>
      </c>
      <c r="O10" s="13">
        <v>0</v>
      </c>
      <c r="P10" s="14"/>
      <c r="Q10" s="10"/>
      <c r="R10" s="12" t="s">
        <v>7</v>
      </c>
      <c r="S10" s="13">
        <v>0</v>
      </c>
      <c r="T10" s="14"/>
      <c r="U10" s="10"/>
      <c r="V10" s="12" t="s">
        <v>7</v>
      </c>
      <c r="W10" s="13">
        <v>0</v>
      </c>
      <c r="X10" s="14"/>
      <c r="Y10" s="10"/>
      <c r="Z10" s="12" t="s">
        <v>7</v>
      </c>
      <c r="AA10" s="50">
        <v>90000</v>
      </c>
      <c r="AB10" s="14"/>
      <c r="AC10" s="10"/>
      <c r="AD10" s="12" t="s">
        <v>7</v>
      </c>
      <c r="AE10" s="13">
        <v>0</v>
      </c>
      <c r="AF10" s="14"/>
      <c r="AG10" s="10"/>
      <c r="AH10" s="12" t="s">
        <v>7</v>
      </c>
      <c r="AI10" s="44">
        <v>85000</v>
      </c>
      <c r="AJ10" s="14"/>
      <c r="AK10" s="10"/>
      <c r="AL10" s="12" t="s">
        <v>7</v>
      </c>
      <c r="AM10" s="13">
        <v>0</v>
      </c>
      <c r="AN10" s="14"/>
      <c r="AO10" s="10"/>
      <c r="AP10" s="12" t="s">
        <v>7</v>
      </c>
      <c r="AQ10" s="13">
        <v>0</v>
      </c>
      <c r="AR10" s="14"/>
      <c r="AS10" s="10"/>
      <c r="AT10" s="12" t="s">
        <v>7</v>
      </c>
      <c r="AU10" s="13">
        <v>0</v>
      </c>
      <c r="AV10" s="14"/>
      <c r="AW10" s="10"/>
      <c r="AX10" s="12" t="s">
        <v>7</v>
      </c>
      <c r="AY10" s="13">
        <v>0</v>
      </c>
      <c r="AZ10" s="14"/>
      <c r="BA10" s="51"/>
    </row>
    <row r="11" spans="1:53" ht="15" customHeight="1">
      <c r="A11" s="11"/>
      <c r="B11" s="12" t="s">
        <v>6</v>
      </c>
      <c r="C11" s="15">
        <v>0</v>
      </c>
      <c r="D11" s="14"/>
      <c r="E11" s="10"/>
      <c r="F11" s="12" t="s">
        <v>6</v>
      </c>
      <c r="G11" s="15">
        <v>0</v>
      </c>
      <c r="H11" s="14"/>
      <c r="I11" s="10"/>
      <c r="J11" s="12" t="s">
        <v>6</v>
      </c>
      <c r="K11" s="15">
        <v>0</v>
      </c>
      <c r="L11" s="14"/>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15">
        <v>0</v>
      </c>
      <c r="AJ11" s="14"/>
      <c r="AK11" s="10"/>
      <c r="AL11" s="12" t="s">
        <v>6</v>
      </c>
      <c r="AM11" s="15">
        <v>0</v>
      </c>
      <c r="AN11" s="14"/>
      <c r="AO11" s="10"/>
      <c r="AP11" s="12" t="s">
        <v>6</v>
      </c>
      <c r="AQ11" s="15">
        <v>0</v>
      </c>
      <c r="AR11" s="14"/>
      <c r="AS11" s="10"/>
      <c r="AT11" s="12" t="s">
        <v>6</v>
      </c>
      <c r="AU11" s="15">
        <v>0</v>
      </c>
      <c r="AV11" s="14"/>
      <c r="AW11" s="10"/>
      <c r="AX11" s="12" t="s">
        <v>6</v>
      </c>
      <c r="AY11" s="15">
        <v>0</v>
      </c>
      <c r="AZ11" s="14"/>
      <c r="BA11" s="51"/>
    </row>
    <row r="12" spans="1:53" ht="15" customHeight="1">
      <c r="A12" s="11"/>
      <c r="B12" s="12" t="s">
        <v>5</v>
      </c>
      <c r="C12" s="13" t="s">
        <v>51</v>
      </c>
      <c r="D12" s="14"/>
      <c r="E12" s="10"/>
      <c r="F12" s="12" t="s">
        <v>5</v>
      </c>
      <c r="G12" s="13" t="s">
        <v>4</v>
      </c>
      <c r="H12" s="14"/>
      <c r="I12" s="10"/>
      <c r="J12" s="12" t="s">
        <v>5</v>
      </c>
      <c r="K12" s="13" t="s">
        <v>4</v>
      </c>
      <c r="L12" s="14"/>
      <c r="M12" s="10"/>
      <c r="N12" s="12" t="s">
        <v>5</v>
      </c>
      <c r="O12" s="13" t="s">
        <v>4</v>
      </c>
      <c r="P12" s="14"/>
      <c r="Q12" s="10"/>
      <c r="R12" s="12" t="s">
        <v>5</v>
      </c>
      <c r="S12" s="13" t="s">
        <v>4</v>
      </c>
      <c r="T12" s="14"/>
      <c r="U12" s="10"/>
      <c r="V12" s="12" t="s">
        <v>5</v>
      </c>
      <c r="W12" s="13" t="s">
        <v>4</v>
      </c>
      <c r="X12" s="14"/>
      <c r="Y12" s="10"/>
      <c r="Z12" s="12" t="s">
        <v>5</v>
      </c>
      <c r="AA12" s="50" t="s">
        <v>107</v>
      </c>
      <c r="AB12" s="14"/>
      <c r="AC12" s="10"/>
      <c r="AD12" s="12" t="s">
        <v>5</v>
      </c>
      <c r="AE12" s="13" t="s">
        <v>4</v>
      </c>
      <c r="AF12" s="14"/>
      <c r="AG12" s="10"/>
      <c r="AH12" s="12" t="s">
        <v>5</v>
      </c>
      <c r="AI12" s="54" t="s">
        <v>253</v>
      </c>
      <c r="AJ12" s="14"/>
      <c r="AK12" s="10"/>
      <c r="AL12" s="12" t="s">
        <v>5</v>
      </c>
      <c r="AM12" s="13" t="s">
        <v>4</v>
      </c>
      <c r="AN12" s="14"/>
      <c r="AO12" s="10"/>
      <c r="AP12" s="12" t="s">
        <v>5</v>
      </c>
      <c r="AQ12" s="13" t="s">
        <v>4</v>
      </c>
      <c r="AR12" s="14"/>
      <c r="AS12" s="10"/>
      <c r="AT12" s="12" t="s">
        <v>5</v>
      </c>
      <c r="AU12" s="13" t="s">
        <v>4</v>
      </c>
      <c r="AV12" s="14"/>
      <c r="AW12" s="10"/>
      <c r="AX12" s="12" t="s">
        <v>5</v>
      </c>
      <c r="AY12" s="13" t="s">
        <v>4</v>
      </c>
      <c r="AZ12" s="14"/>
      <c r="BA12" s="51"/>
    </row>
    <row r="13" spans="1:53" ht="15" customHeight="1">
      <c r="A13" s="11"/>
      <c r="B13" s="12" t="s">
        <v>11</v>
      </c>
      <c r="C13" s="15" t="s">
        <v>131</v>
      </c>
      <c r="D13" s="14">
        <v>6000</v>
      </c>
      <c r="E13" s="9"/>
      <c r="F13" s="12" t="s">
        <v>11</v>
      </c>
      <c r="G13" s="15" t="s">
        <v>13</v>
      </c>
      <c r="H13" s="14">
        <v>0</v>
      </c>
      <c r="I13" s="10"/>
      <c r="J13" s="12" t="s">
        <v>11</v>
      </c>
      <c r="K13" s="15" t="s">
        <v>13</v>
      </c>
      <c r="L13" s="14">
        <v>0</v>
      </c>
      <c r="M13" s="10"/>
      <c r="N13" s="12" t="s">
        <v>11</v>
      </c>
      <c r="O13" s="15" t="s">
        <v>13</v>
      </c>
      <c r="P13" s="14">
        <v>0</v>
      </c>
      <c r="Q13" s="10"/>
      <c r="R13" s="12" t="s">
        <v>11</v>
      </c>
      <c r="S13" s="15" t="s">
        <v>13</v>
      </c>
      <c r="T13" s="14">
        <v>0</v>
      </c>
      <c r="U13" s="10"/>
      <c r="V13" s="12" t="s">
        <v>11</v>
      </c>
      <c r="W13" s="15" t="s">
        <v>13</v>
      </c>
      <c r="X13" s="14">
        <v>0</v>
      </c>
      <c r="Y13" s="10"/>
      <c r="Z13" s="12" t="s">
        <v>11</v>
      </c>
      <c r="AA13" s="15" t="s">
        <v>13</v>
      </c>
      <c r="AB13" s="14">
        <v>0</v>
      </c>
      <c r="AC13" s="10"/>
      <c r="AD13" s="12" t="s">
        <v>11</v>
      </c>
      <c r="AE13" s="15" t="s">
        <v>13</v>
      </c>
      <c r="AF13" s="14">
        <v>0</v>
      </c>
      <c r="AG13" s="10"/>
      <c r="AH13" s="12" t="s">
        <v>11</v>
      </c>
      <c r="AI13" s="54" t="s">
        <v>131</v>
      </c>
      <c r="AJ13" s="55">
        <v>2000</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s="51"/>
    </row>
    <row r="14" spans="1:53" ht="15" customHeight="1">
      <c r="A14" s="11"/>
      <c r="B14" s="12" t="s">
        <v>12</v>
      </c>
      <c r="C14" s="15" t="s">
        <v>13</v>
      </c>
      <c r="D14" s="14">
        <v>0</v>
      </c>
      <c r="E14" s="9"/>
      <c r="F14" s="12" t="s">
        <v>12</v>
      </c>
      <c r="G14" s="15" t="s">
        <v>13</v>
      </c>
      <c r="H14" s="14">
        <v>0</v>
      </c>
      <c r="I14" s="10"/>
      <c r="J14" s="12" t="s">
        <v>12</v>
      </c>
      <c r="K14" s="15" t="s">
        <v>13</v>
      </c>
      <c r="L14" s="14">
        <v>0</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6">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s="51"/>
    </row>
    <row r="15" spans="1:53" ht="15" customHeight="1">
      <c r="A15" s="11"/>
      <c r="B15" s="12" t="s">
        <v>14</v>
      </c>
      <c r="C15" s="15" t="s">
        <v>13</v>
      </c>
      <c r="D15" s="14">
        <v>0</v>
      </c>
      <c r="E15" s="9"/>
      <c r="F15" s="12" t="s">
        <v>14</v>
      </c>
      <c r="G15" s="15" t="s">
        <v>13</v>
      </c>
      <c r="H15" s="14">
        <v>0</v>
      </c>
      <c r="I15" s="10"/>
      <c r="J15" s="12" t="s">
        <v>14</v>
      </c>
      <c r="K15" s="15" t="s">
        <v>13</v>
      </c>
      <c r="L15" s="14">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s="51"/>
    </row>
    <row r="16" spans="1:53" s="20" customFormat="1" ht="5.0999999999999996" customHeight="1">
      <c r="A16" s="17"/>
      <c r="B16" s="18"/>
      <c r="C16" s="18"/>
      <c r="D16" s="18"/>
      <c r="E16" s="19"/>
      <c r="F16" s="18"/>
      <c r="G16" s="18"/>
      <c r="H16" s="18"/>
      <c r="I16" s="19"/>
      <c r="J16" s="18"/>
      <c r="K16" s="56"/>
      <c r="L16" s="56"/>
      <c r="M16" s="19"/>
      <c r="N16" s="18"/>
      <c r="O16" s="18"/>
      <c r="P16" s="18"/>
      <c r="Q16" s="19"/>
      <c r="R16" s="18"/>
      <c r="S16" s="18"/>
      <c r="T16" s="18"/>
      <c r="U16" s="19"/>
      <c r="V16" s="18"/>
      <c r="W16" s="18"/>
      <c r="X16" s="18"/>
      <c r="Y16" s="19"/>
      <c r="Z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s="51"/>
    </row>
    <row r="17" spans="1:53" ht="15" customHeight="1">
      <c r="A17" s="11"/>
      <c r="B17" s="12" t="s">
        <v>7</v>
      </c>
      <c r="C17" s="13">
        <v>0</v>
      </c>
      <c r="D17" s="14"/>
      <c r="E17" s="10"/>
      <c r="F17" s="12" t="s">
        <v>7</v>
      </c>
      <c r="G17" s="13">
        <v>0</v>
      </c>
      <c r="H17" s="14"/>
      <c r="I17" s="10"/>
      <c r="J17" s="12" t="s">
        <v>7</v>
      </c>
      <c r="K17" s="13">
        <v>0</v>
      </c>
      <c r="L17" s="14"/>
      <c r="M17" s="10"/>
      <c r="N17" s="12" t="s">
        <v>7</v>
      </c>
      <c r="O17" s="13">
        <v>0</v>
      </c>
      <c r="P17" s="14"/>
      <c r="Q17" s="10"/>
      <c r="R17" s="12" t="s">
        <v>7</v>
      </c>
      <c r="S17" s="13">
        <v>0</v>
      </c>
      <c r="T17" s="14"/>
      <c r="U17" s="10"/>
      <c r="V17" s="12" t="s">
        <v>7</v>
      </c>
      <c r="W17" s="13">
        <v>0</v>
      </c>
      <c r="X17" s="14"/>
      <c r="Y17" s="10"/>
      <c r="Z17" s="12" t="s">
        <v>7</v>
      </c>
      <c r="AA17" s="58">
        <v>57000</v>
      </c>
      <c r="AB17" s="14"/>
      <c r="AC17" s="10"/>
      <c r="AD17" s="12" t="s">
        <v>7</v>
      </c>
      <c r="AE17" s="13">
        <v>0</v>
      </c>
      <c r="AF17" s="14"/>
      <c r="AG17" s="10"/>
      <c r="AH17" s="12" t="s">
        <v>7</v>
      </c>
      <c r="AI17" s="54">
        <v>75000</v>
      </c>
      <c r="AJ17" s="14"/>
      <c r="AK17" s="10"/>
      <c r="AL17" s="12" t="s">
        <v>7</v>
      </c>
      <c r="AM17" s="13">
        <v>0</v>
      </c>
      <c r="AN17" s="14"/>
      <c r="AO17" s="10"/>
      <c r="AP17" s="12" t="s">
        <v>7</v>
      </c>
      <c r="AQ17" s="13">
        <v>0</v>
      </c>
      <c r="AR17" s="14"/>
      <c r="AS17" s="10"/>
      <c r="AT17" s="12" t="s">
        <v>7</v>
      </c>
      <c r="AU17" s="13">
        <v>0</v>
      </c>
      <c r="AV17" s="14"/>
      <c r="AW17" s="10"/>
      <c r="AX17" s="12" t="s">
        <v>7</v>
      </c>
      <c r="AY17" s="13">
        <v>0</v>
      </c>
      <c r="AZ17" s="14"/>
      <c r="BA17" s="51"/>
    </row>
    <row r="18" spans="1:53" ht="15" customHeight="1">
      <c r="A18" s="11"/>
      <c r="B18" s="12" t="s">
        <v>6</v>
      </c>
      <c r="C18" s="15">
        <v>0</v>
      </c>
      <c r="D18" s="14"/>
      <c r="E18" s="10"/>
      <c r="F18" s="12" t="s">
        <v>6</v>
      </c>
      <c r="G18" s="15">
        <v>0</v>
      </c>
      <c r="H18" s="14"/>
      <c r="I18" s="10"/>
      <c r="J18" s="12" t="s">
        <v>6</v>
      </c>
      <c r="K18" s="15">
        <v>0</v>
      </c>
      <c r="L18" s="14"/>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15">
        <v>0</v>
      </c>
      <c r="AJ18" s="14"/>
      <c r="AK18" s="10"/>
      <c r="AL18" s="12" t="s">
        <v>6</v>
      </c>
      <c r="AM18" s="15">
        <v>0</v>
      </c>
      <c r="AN18" s="14"/>
      <c r="AO18" s="10"/>
      <c r="AP18" s="12" t="s">
        <v>6</v>
      </c>
      <c r="AQ18" s="15">
        <v>0</v>
      </c>
      <c r="AR18" s="14"/>
      <c r="AS18" s="10"/>
      <c r="AT18" s="12" t="s">
        <v>6</v>
      </c>
      <c r="AU18" s="15">
        <v>0</v>
      </c>
      <c r="AV18" s="14"/>
      <c r="AW18" s="10"/>
      <c r="AX18" s="12" t="s">
        <v>6</v>
      </c>
      <c r="AY18" s="15">
        <v>0</v>
      </c>
      <c r="AZ18" s="14"/>
      <c r="BA18" s="51"/>
    </row>
    <row r="19" spans="1:53" ht="15" customHeight="1">
      <c r="A19" s="11"/>
      <c r="B19" s="12" t="s">
        <v>5</v>
      </c>
      <c r="C19" s="13" t="s">
        <v>4</v>
      </c>
      <c r="D19" s="14"/>
      <c r="E19" s="10"/>
      <c r="F19" s="12" t="s">
        <v>5</v>
      </c>
      <c r="G19" s="13" t="s">
        <v>4</v>
      </c>
      <c r="H19" s="14"/>
      <c r="I19" s="10"/>
      <c r="J19" s="12" t="s">
        <v>5</v>
      </c>
      <c r="K19" s="13" t="s">
        <v>4</v>
      </c>
      <c r="L19" s="14"/>
      <c r="M19" s="10"/>
      <c r="N19" s="12" t="s">
        <v>5</v>
      </c>
      <c r="O19" s="13" t="s">
        <v>4</v>
      </c>
      <c r="P19" s="14"/>
      <c r="Q19" s="10"/>
      <c r="R19" s="12" t="s">
        <v>5</v>
      </c>
      <c r="S19" s="13" t="s">
        <v>4</v>
      </c>
      <c r="T19" s="14"/>
      <c r="U19" s="10"/>
      <c r="V19" s="12" t="s">
        <v>5</v>
      </c>
      <c r="W19" s="13" t="s">
        <v>4</v>
      </c>
      <c r="X19" s="14"/>
      <c r="Y19" s="10"/>
      <c r="Z19" s="12" t="s">
        <v>5</v>
      </c>
      <c r="AA19" s="58" t="s">
        <v>265</v>
      </c>
      <c r="AB19" s="14"/>
      <c r="AC19" s="10"/>
      <c r="AD19" s="12" t="s">
        <v>5</v>
      </c>
      <c r="AE19" s="13" t="s">
        <v>4</v>
      </c>
      <c r="AF19" s="14"/>
      <c r="AG19" s="10"/>
      <c r="AH19" s="12" t="s">
        <v>5</v>
      </c>
      <c r="AI19" s="54" t="s">
        <v>251</v>
      </c>
      <c r="AJ19" s="14"/>
      <c r="AK19" s="10"/>
      <c r="AL19" s="12" t="s">
        <v>5</v>
      </c>
      <c r="AM19" s="13" t="s">
        <v>4</v>
      </c>
      <c r="AN19" s="14"/>
      <c r="AO19" s="10"/>
      <c r="AP19" s="12" t="s">
        <v>5</v>
      </c>
      <c r="AQ19" s="13" t="s">
        <v>4</v>
      </c>
      <c r="AR19" s="14"/>
      <c r="AS19" s="10"/>
      <c r="AT19" s="12" t="s">
        <v>5</v>
      </c>
      <c r="AU19" s="13" t="s">
        <v>4</v>
      </c>
      <c r="AV19" s="14"/>
      <c r="AW19" s="10"/>
      <c r="AX19" s="12" t="s">
        <v>5</v>
      </c>
      <c r="AY19" s="13" t="s">
        <v>4</v>
      </c>
      <c r="AZ19" s="14"/>
      <c r="BA19" s="51"/>
    </row>
    <row r="20" spans="1:53" ht="15" customHeight="1">
      <c r="A20" s="11"/>
      <c r="B20" s="12" t="s">
        <v>11</v>
      </c>
      <c r="C20" s="15" t="s">
        <v>13</v>
      </c>
      <c r="D20" s="43">
        <v>0</v>
      </c>
      <c r="E20" s="9"/>
      <c r="F20" s="12" t="s">
        <v>11</v>
      </c>
      <c r="G20" s="15" t="s">
        <v>13</v>
      </c>
      <c r="H20" s="14">
        <v>0</v>
      </c>
      <c r="I20" s="10"/>
      <c r="J20" s="12" t="s">
        <v>11</v>
      </c>
      <c r="K20" s="15" t="s">
        <v>13</v>
      </c>
      <c r="L20" s="14">
        <v>0</v>
      </c>
      <c r="M20" s="10"/>
      <c r="N20" s="12" t="s">
        <v>11</v>
      </c>
      <c r="O20" s="15" t="s">
        <v>13</v>
      </c>
      <c r="P20" s="14">
        <v>0</v>
      </c>
      <c r="Q20" s="10"/>
      <c r="R20" s="12" t="s">
        <v>11</v>
      </c>
      <c r="S20" s="15" t="s">
        <v>13</v>
      </c>
      <c r="T20" s="14">
        <v>0</v>
      </c>
      <c r="U20" s="10"/>
      <c r="V20" s="12" t="s">
        <v>11</v>
      </c>
      <c r="W20" s="15" t="s">
        <v>13</v>
      </c>
      <c r="X20" s="14">
        <v>0</v>
      </c>
      <c r="Y20" s="10"/>
      <c r="Z20" s="12" t="s">
        <v>11</v>
      </c>
      <c r="AA20" s="59" t="s">
        <v>131</v>
      </c>
      <c r="AB20" s="60">
        <v>5000</v>
      </c>
      <c r="AC20" s="10"/>
      <c r="AD20" s="12" t="s">
        <v>11</v>
      </c>
      <c r="AE20" s="15" t="s">
        <v>13</v>
      </c>
      <c r="AF20" s="14">
        <v>0</v>
      </c>
      <c r="AG20" s="10"/>
      <c r="AH20" s="12" t="s">
        <v>11</v>
      </c>
      <c r="AI20" s="54" t="s">
        <v>131</v>
      </c>
      <c r="AJ20" s="55">
        <v>2000</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s="51"/>
    </row>
    <row r="21" spans="1:53" ht="15" customHeight="1">
      <c r="A21" s="11"/>
      <c r="B21" s="12" t="s">
        <v>12</v>
      </c>
      <c r="C21" s="15" t="s">
        <v>13</v>
      </c>
      <c r="D21" s="14">
        <v>0</v>
      </c>
      <c r="E21" s="9"/>
      <c r="F21" s="12" t="s">
        <v>12</v>
      </c>
      <c r="G21" s="15" t="s">
        <v>13</v>
      </c>
      <c r="H21" s="14">
        <v>0</v>
      </c>
      <c r="I21" s="10"/>
      <c r="J21" s="12" t="s">
        <v>12</v>
      </c>
      <c r="K21" s="15" t="s">
        <v>13</v>
      </c>
      <c r="L21" s="14">
        <v>0</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15" t="s">
        <v>13</v>
      </c>
      <c r="AJ21" s="55">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s="51"/>
    </row>
    <row r="22" spans="1:53" ht="15" customHeight="1">
      <c r="A22" s="11"/>
      <c r="B22" s="12" t="s">
        <v>14</v>
      </c>
      <c r="C22" s="15" t="s">
        <v>13</v>
      </c>
      <c r="D22" s="14">
        <v>0</v>
      </c>
      <c r="E22" s="9"/>
      <c r="F22" s="12" t="s">
        <v>14</v>
      </c>
      <c r="G22" s="15" t="s">
        <v>13</v>
      </c>
      <c r="H22" s="14">
        <v>0</v>
      </c>
      <c r="I22" s="10"/>
      <c r="J22" s="12" t="s">
        <v>14</v>
      </c>
      <c r="K22" s="15" t="s">
        <v>13</v>
      </c>
      <c r="L22" s="14">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15" t="s">
        <v>13</v>
      </c>
      <c r="AJ22" s="14">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s="51"/>
    </row>
    <row r="23" spans="1:53" s="20" customFormat="1" ht="5.0999999999999996" customHeight="1">
      <c r="A23" s="17"/>
      <c r="B23" s="18"/>
      <c r="C23" s="18"/>
      <c r="D23" s="18"/>
      <c r="E23" s="19"/>
      <c r="F23" s="18"/>
      <c r="G23" s="18"/>
      <c r="H23" s="18"/>
      <c r="I23" s="19"/>
      <c r="J23" s="18"/>
      <c r="K23" s="56"/>
      <c r="L23" s="56"/>
      <c r="M23" s="19"/>
      <c r="N23" s="18"/>
      <c r="O23" s="18"/>
      <c r="P23" s="18"/>
      <c r="Q23" s="19"/>
      <c r="R23" s="18"/>
      <c r="S23" s="18"/>
      <c r="T23" s="18"/>
      <c r="U23" s="19"/>
      <c r="V23" s="18"/>
      <c r="W23" s="18"/>
      <c r="X23" s="18"/>
      <c r="Y23" s="19"/>
      <c r="Z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s="51"/>
    </row>
    <row r="24" spans="1:53" ht="15" customHeight="1">
      <c r="A24" s="11"/>
      <c r="B24" s="12" t="s">
        <v>7</v>
      </c>
      <c r="C24" s="13">
        <v>0</v>
      </c>
      <c r="D24" s="14"/>
      <c r="E24" s="10"/>
      <c r="F24" s="12" t="s">
        <v>7</v>
      </c>
      <c r="G24" s="13">
        <v>0</v>
      </c>
      <c r="H24" s="14"/>
      <c r="I24" s="10"/>
      <c r="J24" s="12" t="s">
        <v>7</v>
      </c>
      <c r="K24" s="13">
        <v>0</v>
      </c>
      <c r="L24" s="14"/>
      <c r="M24" s="10"/>
      <c r="N24" s="12" t="s">
        <v>7</v>
      </c>
      <c r="O24" s="13">
        <v>0</v>
      </c>
      <c r="P24" s="14"/>
      <c r="Q24" s="10"/>
      <c r="R24" s="12" t="s">
        <v>7</v>
      </c>
      <c r="S24" s="13">
        <v>0</v>
      </c>
      <c r="T24" s="14"/>
      <c r="U24" s="10"/>
      <c r="V24" s="12" t="s">
        <v>7</v>
      </c>
      <c r="W24" s="13">
        <v>0</v>
      </c>
      <c r="X24" s="14"/>
      <c r="Y24" s="10"/>
      <c r="Z24" s="12" t="s">
        <v>7</v>
      </c>
      <c r="AA24" s="44">
        <v>50000</v>
      </c>
      <c r="AB24" s="43"/>
      <c r="AC24" s="10"/>
      <c r="AD24" s="12" t="s">
        <v>7</v>
      </c>
      <c r="AE24" s="13">
        <v>0</v>
      </c>
      <c r="AF24" s="14"/>
      <c r="AG24" s="10"/>
      <c r="AH24" s="12" t="s">
        <v>7</v>
      </c>
      <c r="AI24" s="54">
        <v>72000</v>
      </c>
      <c r="AJ24" s="14"/>
      <c r="AK24" s="10"/>
      <c r="AL24" s="12" t="s">
        <v>7</v>
      </c>
      <c r="AM24" s="13">
        <v>0</v>
      </c>
      <c r="AN24" s="14"/>
      <c r="AO24" s="10"/>
      <c r="AP24" s="12" t="s">
        <v>7</v>
      </c>
      <c r="AQ24" s="13">
        <v>0</v>
      </c>
      <c r="AR24" s="14"/>
      <c r="AS24" s="10"/>
      <c r="AT24" s="12" t="s">
        <v>7</v>
      </c>
      <c r="AU24" s="13">
        <v>0</v>
      </c>
      <c r="AV24" s="14"/>
      <c r="AW24" s="10"/>
      <c r="AX24" s="12" t="s">
        <v>7</v>
      </c>
      <c r="AY24" s="13">
        <v>0</v>
      </c>
      <c r="AZ24" s="14"/>
      <c r="BA24" s="51"/>
    </row>
    <row r="25" spans="1:53" ht="15" customHeight="1">
      <c r="A25" s="11"/>
      <c r="B25" s="12" t="s">
        <v>6</v>
      </c>
      <c r="C25" s="15">
        <v>0</v>
      </c>
      <c r="D25" s="14"/>
      <c r="E25" s="10"/>
      <c r="F25" s="12" t="s">
        <v>6</v>
      </c>
      <c r="G25" s="15">
        <v>0</v>
      </c>
      <c r="H25" s="14"/>
      <c r="I25" s="10"/>
      <c r="J25" s="12" t="s">
        <v>6</v>
      </c>
      <c r="K25" s="15">
        <v>0</v>
      </c>
      <c r="L25" s="14"/>
      <c r="M25" s="10"/>
      <c r="N25" s="12" t="s">
        <v>6</v>
      </c>
      <c r="O25" s="15">
        <v>0</v>
      </c>
      <c r="P25" s="14"/>
      <c r="Q25" s="10"/>
      <c r="R25" s="12" t="s">
        <v>6</v>
      </c>
      <c r="S25" s="15">
        <v>0</v>
      </c>
      <c r="T25" s="14"/>
      <c r="U25" s="10"/>
      <c r="V25" s="12" t="s">
        <v>6</v>
      </c>
      <c r="W25" s="15">
        <v>0</v>
      </c>
      <c r="X25" s="14"/>
      <c r="Y25" s="10"/>
      <c r="Z25" s="12" t="s">
        <v>6</v>
      </c>
      <c r="AA25" s="44">
        <v>0</v>
      </c>
      <c r="AB25" s="43"/>
      <c r="AC25" s="10"/>
      <c r="AD25" s="12" t="s">
        <v>6</v>
      </c>
      <c r="AE25" s="15">
        <v>0</v>
      </c>
      <c r="AF25" s="14"/>
      <c r="AG25" s="10"/>
      <c r="AH25" s="12" t="s">
        <v>6</v>
      </c>
      <c r="AI25" s="15">
        <v>0</v>
      </c>
      <c r="AJ25" s="14"/>
      <c r="AK25" s="10"/>
      <c r="AL25" s="12" t="s">
        <v>6</v>
      </c>
      <c r="AM25" s="15">
        <v>0</v>
      </c>
      <c r="AN25" s="14"/>
      <c r="AO25" s="10"/>
      <c r="AP25" s="12" t="s">
        <v>6</v>
      </c>
      <c r="AQ25" s="15">
        <v>0</v>
      </c>
      <c r="AR25" s="14"/>
      <c r="AS25" s="10"/>
      <c r="AT25" s="12" t="s">
        <v>6</v>
      </c>
      <c r="AU25" s="15">
        <v>0</v>
      </c>
      <c r="AV25" s="14"/>
      <c r="AW25" s="10"/>
      <c r="AX25" s="12" t="s">
        <v>6</v>
      </c>
      <c r="AY25" s="15">
        <v>0</v>
      </c>
      <c r="AZ25" s="14"/>
      <c r="BA25" s="51"/>
    </row>
    <row r="26" spans="1:53" ht="15" customHeight="1">
      <c r="A26" s="11"/>
      <c r="B26" s="12" t="s">
        <v>5</v>
      </c>
      <c r="C26" s="13" t="s">
        <v>4</v>
      </c>
      <c r="D26" s="14"/>
      <c r="E26" s="10"/>
      <c r="F26" s="12" t="s">
        <v>5</v>
      </c>
      <c r="G26" s="13" t="s">
        <v>4</v>
      </c>
      <c r="H26" s="14"/>
      <c r="I26" s="10"/>
      <c r="J26" s="12" t="s">
        <v>5</v>
      </c>
      <c r="K26" s="13" t="s">
        <v>4</v>
      </c>
      <c r="L26" s="14"/>
      <c r="M26" s="10"/>
      <c r="N26" s="12" t="s">
        <v>5</v>
      </c>
      <c r="O26" s="13" t="s">
        <v>4</v>
      </c>
      <c r="P26" s="14"/>
      <c r="Q26" s="10"/>
      <c r="R26" s="12" t="s">
        <v>5</v>
      </c>
      <c r="S26" s="13" t="s">
        <v>4</v>
      </c>
      <c r="T26" s="14"/>
      <c r="U26" s="10"/>
      <c r="V26" s="12" t="s">
        <v>5</v>
      </c>
      <c r="W26" s="13" t="s">
        <v>4</v>
      </c>
      <c r="X26" s="14"/>
      <c r="Y26" s="10"/>
      <c r="Z26" s="12" t="s">
        <v>5</v>
      </c>
      <c r="AA26" s="44" t="s">
        <v>113</v>
      </c>
      <c r="AB26" s="43"/>
      <c r="AC26" s="10"/>
      <c r="AD26" s="12" t="s">
        <v>5</v>
      </c>
      <c r="AE26" s="13" t="s">
        <v>4</v>
      </c>
      <c r="AF26" s="14"/>
      <c r="AG26" s="10"/>
      <c r="AH26" s="12" t="s">
        <v>5</v>
      </c>
      <c r="AI26" s="54" t="s">
        <v>257</v>
      </c>
      <c r="AJ26" s="14"/>
      <c r="AK26" s="10"/>
      <c r="AL26" s="12" t="s">
        <v>5</v>
      </c>
      <c r="AM26" s="13" t="s">
        <v>4</v>
      </c>
      <c r="AN26" s="14"/>
      <c r="AO26" s="10"/>
      <c r="AP26" s="12" t="s">
        <v>5</v>
      </c>
      <c r="AQ26" s="13" t="s">
        <v>4</v>
      </c>
      <c r="AR26" s="14"/>
      <c r="AS26" s="10"/>
      <c r="AT26" s="12" t="s">
        <v>5</v>
      </c>
      <c r="AU26" s="13" t="s">
        <v>4</v>
      </c>
      <c r="AV26" s="14"/>
      <c r="AW26" s="10"/>
      <c r="AX26" s="12" t="s">
        <v>5</v>
      </c>
      <c r="AY26" s="13" t="s">
        <v>4</v>
      </c>
      <c r="AZ26" s="14"/>
      <c r="BA26" s="51"/>
    </row>
    <row r="27" spans="1:53" ht="15" customHeight="1">
      <c r="A27" s="11"/>
      <c r="B27" s="12" t="s">
        <v>11</v>
      </c>
      <c r="C27" s="15" t="s">
        <v>13</v>
      </c>
      <c r="D27" s="43">
        <v>0</v>
      </c>
      <c r="E27" s="9"/>
      <c r="F27" s="12" t="s">
        <v>11</v>
      </c>
      <c r="G27" s="15" t="s">
        <v>13</v>
      </c>
      <c r="H27" s="14">
        <v>0</v>
      </c>
      <c r="I27" s="10"/>
      <c r="J27" s="12" t="s">
        <v>11</v>
      </c>
      <c r="K27" s="15" t="s">
        <v>13</v>
      </c>
      <c r="L27" s="14">
        <v>0</v>
      </c>
      <c r="M27" s="10"/>
      <c r="N27" s="12" t="s">
        <v>11</v>
      </c>
      <c r="O27" s="15" t="s">
        <v>13</v>
      </c>
      <c r="P27" s="14">
        <v>0</v>
      </c>
      <c r="Q27" s="10"/>
      <c r="R27" s="12" t="s">
        <v>11</v>
      </c>
      <c r="S27" s="15" t="s">
        <v>13</v>
      </c>
      <c r="T27" s="14">
        <v>0</v>
      </c>
      <c r="U27" s="10"/>
      <c r="V27" s="12" t="s">
        <v>11</v>
      </c>
      <c r="W27" s="15" t="s">
        <v>13</v>
      </c>
      <c r="X27" s="14">
        <v>0</v>
      </c>
      <c r="Y27" s="10"/>
      <c r="Z27" s="12" t="s">
        <v>11</v>
      </c>
      <c r="AA27" s="44" t="s">
        <v>131</v>
      </c>
      <c r="AB27" s="43">
        <v>1999</v>
      </c>
      <c r="AC27" s="10"/>
      <c r="AD27" s="12" t="s">
        <v>11</v>
      </c>
      <c r="AE27" s="15" t="s">
        <v>13</v>
      </c>
      <c r="AF27" s="14">
        <v>0</v>
      </c>
      <c r="AG27" s="10"/>
      <c r="AH27" s="12" t="s">
        <v>11</v>
      </c>
      <c r="AI27" s="54" t="s">
        <v>131</v>
      </c>
      <c r="AJ27" s="55">
        <v>2000</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s="51"/>
    </row>
    <row r="28" spans="1:53" ht="15" customHeight="1">
      <c r="A28" s="11"/>
      <c r="B28" s="12" t="s">
        <v>12</v>
      </c>
      <c r="C28" s="15" t="s">
        <v>13</v>
      </c>
      <c r="D28" s="14">
        <v>0</v>
      </c>
      <c r="E28" s="9"/>
      <c r="F28" s="12" t="s">
        <v>12</v>
      </c>
      <c r="G28" s="15" t="s">
        <v>13</v>
      </c>
      <c r="H28" s="16">
        <v>0</v>
      </c>
      <c r="I28" s="10"/>
      <c r="J28" s="12" t="s">
        <v>12</v>
      </c>
      <c r="K28" s="15" t="s">
        <v>13</v>
      </c>
      <c r="L28" s="14">
        <v>0</v>
      </c>
      <c r="M28" s="10"/>
      <c r="N28" s="12" t="s">
        <v>12</v>
      </c>
      <c r="O28" s="15" t="s">
        <v>13</v>
      </c>
      <c r="P28" s="16">
        <v>0</v>
      </c>
      <c r="Q28" s="10"/>
      <c r="R28" s="12" t="s">
        <v>12</v>
      </c>
      <c r="S28" s="15" t="s">
        <v>13</v>
      </c>
      <c r="T28" s="16">
        <v>0</v>
      </c>
      <c r="U28" s="10"/>
      <c r="V28" s="12" t="s">
        <v>12</v>
      </c>
      <c r="W28" s="15" t="s">
        <v>13</v>
      </c>
      <c r="X28" s="16">
        <v>0</v>
      </c>
      <c r="Y28" s="10"/>
      <c r="Z28" s="12" t="s">
        <v>12</v>
      </c>
      <c r="AA28" s="15" t="s">
        <v>13</v>
      </c>
      <c r="AB28" s="14">
        <v>0</v>
      </c>
      <c r="AC28" s="10"/>
      <c r="AD28" s="12" t="s">
        <v>12</v>
      </c>
      <c r="AE28" s="15" t="s">
        <v>13</v>
      </c>
      <c r="AF28" s="16">
        <v>0</v>
      </c>
      <c r="AG28" s="10"/>
      <c r="AH28" s="12" t="s">
        <v>12</v>
      </c>
      <c r="AI28" s="44" t="s">
        <v>268</v>
      </c>
      <c r="AJ28" s="43">
        <v>5000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s="51"/>
    </row>
    <row r="29" spans="1:53" ht="15" customHeight="1">
      <c r="A29" s="11"/>
      <c r="B29" s="12" t="s">
        <v>14</v>
      </c>
      <c r="C29" s="15" t="s">
        <v>13</v>
      </c>
      <c r="D29" s="14">
        <v>0</v>
      </c>
      <c r="E29" s="9"/>
      <c r="F29" s="12" t="s">
        <v>14</v>
      </c>
      <c r="G29" s="15" t="s">
        <v>13</v>
      </c>
      <c r="H29" s="14">
        <v>0</v>
      </c>
      <c r="I29" s="10"/>
      <c r="J29" s="12" t="s">
        <v>14</v>
      </c>
      <c r="K29" s="15" t="s">
        <v>13</v>
      </c>
      <c r="L29" s="14">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15" t="s">
        <v>13</v>
      </c>
      <c r="AJ29" s="14">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s="51"/>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s="51"/>
    </row>
    <row r="31" spans="1:53" ht="15" customHeight="1">
      <c r="A31" s="11"/>
      <c r="B31" s="12" t="s">
        <v>7</v>
      </c>
      <c r="C31" s="13">
        <v>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44">
        <v>49000</v>
      </c>
      <c r="AB31" s="43"/>
      <c r="AC31" s="10"/>
      <c r="AD31" s="12" t="s">
        <v>7</v>
      </c>
      <c r="AE31" s="13">
        <v>0</v>
      </c>
      <c r="AF31" s="14"/>
      <c r="AG31" s="10"/>
      <c r="AH31" s="12" t="s">
        <v>7</v>
      </c>
      <c r="AI31" s="44">
        <v>69000</v>
      </c>
      <c r="AJ31" s="14"/>
      <c r="AK31" s="10"/>
      <c r="AL31" s="12" t="s">
        <v>7</v>
      </c>
      <c r="AM31" s="13">
        <v>0</v>
      </c>
      <c r="AN31" s="14"/>
      <c r="AO31" s="10"/>
      <c r="AP31" s="12" t="s">
        <v>7</v>
      </c>
      <c r="AQ31" s="13">
        <v>0</v>
      </c>
      <c r="AR31" s="14"/>
      <c r="AS31" s="10"/>
      <c r="AT31" s="12" t="s">
        <v>7</v>
      </c>
      <c r="AU31" s="13">
        <v>0</v>
      </c>
      <c r="AV31" s="14"/>
      <c r="AW31" s="10"/>
      <c r="AX31" s="12" t="s">
        <v>7</v>
      </c>
      <c r="AY31" s="13">
        <v>0</v>
      </c>
      <c r="AZ31" s="14"/>
      <c r="BA31" s="5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44">
        <v>0</v>
      </c>
      <c r="AB32" s="43"/>
      <c r="AC32" s="10"/>
      <c r="AD32" s="12" t="s">
        <v>6</v>
      </c>
      <c r="AE32" s="15">
        <v>0</v>
      </c>
      <c r="AF32" s="14"/>
      <c r="AG32" s="10"/>
      <c r="AH32" s="12" t="s">
        <v>6</v>
      </c>
      <c r="AI32" s="15">
        <v>0</v>
      </c>
      <c r="AJ32" s="14"/>
      <c r="AK32" s="10"/>
      <c r="AL32" s="12" t="s">
        <v>6</v>
      </c>
      <c r="AM32" s="15">
        <v>0</v>
      </c>
      <c r="AN32" s="14"/>
      <c r="AO32" s="10"/>
      <c r="AP32" s="12" t="s">
        <v>6</v>
      </c>
      <c r="AQ32" s="15">
        <v>0</v>
      </c>
      <c r="AR32" s="14"/>
      <c r="AS32" s="10"/>
      <c r="AT32" s="12" t="s">
        <v>6</v>
      </c>
      <c r="AU32" s="15">
        <v>0</v>
      </c>
      <c r="AV32" s="14"/>
      <c r="AW32" s="10"/>
      <c r="AX32" s="12" t="s">
        <v>6</v>
      </c>
      <c r="AY32" s="15">
        <v>0</v>
      </c>
      <c r="AZ32" s="14"/>
      <c r="BA32" s="51"/>
    </row>
    <row r="33" spans="1:53" ht="15" customHeight="1">
      <c r="A33" s="11"/>
      <c r="B33" s="12" t="s">
        <v>5</v>
      </c>
      <c r="C33" s="13" t="s">
        <v>4</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44" t="s">
        <v>112</v>
      </c>
      <c r="AB33" s="43"/>
      <c r="AC33" s="10"/>
      <c r="AD33" s="12" t="s">
        <v>5</v>
      </c>
      <c r="AE33" s="13" t="s">
        <v>4</v>
      </c>
      <c r="AF33" s="14"/>
      <c r="AG33" s="10"/>
      <c r="AH33" s="12" t="s">
        <v>5</v>
      </c>
      <c r="AI33" s="54" t="s">
        <v>266</v>
      </c>
      <c r="AJ33" s="14"/>
      <c r="AK33" s="10"/>
      <c r="AL33" s="12" t="s">
        <v>5</v>
      </c>
      <c r="AM33" s="13" t="s">
        <v>4</v>
      </c>
      <c r="AN33" s="14"/>
      <c r="AO33" s="10"/>
      <c r="AP33" s="12" t="s">
        <v>5</v>
      </c>
      <c r="AQ33" s="13" t="s">
        <v>4</v>
      </c>
      <c r="AR33" s="14"/>
      <c r="AS33" s="10"/>
      <c r="AT33" s="12" t="s">
        <v>5</v>
      </c>
      <c r="AU33" s="13" t="s">
        <v>4</v>
      </c>
      <c r="AV33" s="14"/>
      <c r="AW33" s="10"/>
      <c r="AX33" s="12" t="s">
        <v>5</v>
      </c>
      <c r="AY33" s="13" t="s">
        <v>4</v>
      </c>
      <c r="AZ33" s="14"/>
      <c r="BA33" s="51"/>
    </row>
    <row r="34" spans="1:53" ht="15" customHeight="1">
      <c r="A34" s="11"/>
      <c r="B34" s="12" t="s">
        <v>11</v>
      </c>
      <c r="C34" s="15" t="s">
        <v>13</v>
      </c>
      <c r="D34" s="43">
        <v>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44" t="s">
        <v>131</v>
      </c>
      <c r="AB34" s="43">
        <v>1999</v>
      </c>
      <c r="AC34" s="10"/>
      <c r="AD34" s="12" t="s">
        <v>11</v>
      </c>
      <c r="AE34" s="15" t="s">
        <v>13</v>
      </c>
      <c r="AF34" s="14">
        <v>0</v>
      </c>
      <c r="AG34" s="10"/>
      <c r="AH34" s="12" t="s">
        <v>11</v>
      </c>
      <c r="AI34" s="54" t="s">
        <v>131</v>
      </c>
      <c r="AJ34" s="43">
        <v>2000</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s="51"/>
    </row>
    <row r="35" spans="1:53" ht="15" customHeight="1">
      <c r="A35" s="11"/>
      <c r="B35" s="12" t="s">
        <v>12</v>
      </c>
      <c r="C35" s="15" t="s">
        <v>13</v>
      </c>
      <c r="D35" s="43">
        <v>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4">
        <v>0</v>
      </c>
      <c r="AC35" s="10"/>
      <c r="AD35" s="12" t="s">
        <v>12</v>
      </c>
      <c r="AE35" s="15" t="s">
        <v>13</v>
      </c>
      <c r="AF35" s="16">
        <v>0</v>
      </c>
      <c r="AG35" s="10"/>
      <c r="AH35" s="12" t="s">
        <v>12</v>
      </c>
      <c r="AI35" s="15" t="s">
        <v>13</v>
      </c>
      <c r="AJ35" s="16">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s="51"/>
    </row>
    <row r="36" spans="1:53" ht="15" customHeight="1">
      <c r="A36" s="11"/>
      <c r="B36" s="12" t="s">
        <v>14</v>
      </c>
      <c r="C36" s="15" t="s">
        <v>13</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s="51"/>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s="51"/>
    </row>
    <row r="38" spans="1:53" ht="15" customHeight="1">
      <c r="A38" s="11"/>
      <c r="B38" s="12" t="s">
        <v>7</v>
      </c>
      <c r="C38" s="44">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44">
        <v>48000</v>
      </c>
      <c r="AB38" s="43"/>
      <c r="AC38" s="10"/>
      <c r="AD38" s="12" t="s">
        <v>7</v>
      </c>
      <c r="AE38" s="13">
        <v>0</v>
      </c>
      <c r="AF38" s="14"/>
      <c r="AG38" s="10"/>
      <c r="AH38" s="12" t="s">
        <v>7</v>
      </c>
      <c r="AI38" s="44">
        <v>67000</v>
      </c>
      <c r="AJ38" s="14"/>
      <c r="AK38" s="10"/>
      <c r="AL38" s="12" t="s">
        <v>7</v>
      </c>
      <c r="AM38" s="13">
        <v>0</v>
      </c>
      <c r="AN38" s="14"/>
      <c r="AO38" s="10"/>
      <c r="AP38" s="12" t="s">
        <v>7</v>
      </c>
      <c r="AQ38" s="13">
        <v>0</v>
      </c>
      <c r="AR38" s="14"/>
      <c r="AS38" s="10"/>
      <c r="AT38" s="12" t="s">
        <v>7</v>
      </c>
      <c r="AU38" s="13">
        <v>0</v>
      </c>
      <c r="AV38" s="14"/>
      <c r="AW38" s="10"/>
      <c r="AX38" s="12" t="s">
        <v>7</v>
      </c>
      <c r="AY38" s="13">
        <v>0</v>
      </c>
      <c r="AZ38" s="14"/>
      <c r="BA38" s="51"/>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44">
        <v>0</v>
      </c>
      <c r="AB39" s="43"/>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s="51"/>
    </row>
    <row r="40" spans="1:53"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44" t="s">
        <v>33</v>
      </c>
      <c r="AB40" s="43"/>
      <c r="AC40" s="10"/>
      <c r="AD40" s="12" t="s">
        <v>5</v>
      </c>
      <c r="AE40" s="13" t="s">
        <v>4</v>
      </c>
      <c r="AF40" s="14"/>
      <c r="AG40" s="10"/>
      <c r="AH40" s="12" t="s">
        <v>5</v>
      </c>
      <c r="AI40" s="54" t="s">
        <v>267</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s="51"/>
    </row>
    <row r="41" spans="1:53" ht="15" customHeight="1">
      <c r="A41" s="11"/>
      <c r="B41" s="12" t="s">
        <v>11</v>
      </c>
      <c r="C41" s="15" t="s">
        <v>13</v>
      </c>
      <c r="D41" s="43">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44" t="s">
        <v>131</v>
      </c>
      <c r="AB41" s="43">
        <v>1999</v>
      </c>
      <c r="AC41" s="10"/>
      <c r="AD41" s="12" t="s">
        <v>11</v>
      </c>
      <c r="AE41" s="15" t="s">
        <v>13</v>
      </c>
      <c r="AF41" s="14">
        <v>0</v>
      </c>
      <c r="AG41" s="10"/>
      <c r="AH41" s="12" t="s">
        <v>11</v>
      </c>
      <c r="AI41" s="54" t="s">
        <v>131</v>
      </c>
      <c r="AJ41" s="55">
        <v>2000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s="51"/>
    </row>
    <row r="42" spans="1:53" ht="15" customHeight="1">
      <c r="A42" s="11"/>
      <c r="B42" s="12" t="s">
        <v>12</v>
      </c>
      <c r="C42" s="15" t="s">
        <v>13</v>
      </c>
      <c r="D42" s="43">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4">
        <v>0</v>
      </c>
      <c r="AC42" s="10"/>
      <c r="AD42" s="12" t="s">
        <v>12</v>
      </c>
      <c r="AE42" s="15" t="s">
        <v>13</v>
      </c>
      <c r="AF42" s="16">
        <v>0</v>
      </c>
      <c r="AG42" s="10"/>
      <c r="AH42" s="12" t="s">
        <v>12</v>
      </c>
      <c r="AI42" s="15" t="s">
        <v>13</v>
      </c>
      <c r="AJ42" s="16">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s="51"/>
    </row>
    <row r="43" spans="1:53" ht="15" customHeight="1">
      <c r="A43" s="11"/>
      <c r="B43" s="12" t="s">
        <v>14</v>
      </c>
      <c r="C43" s="15" t="s">
        <v>13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s="51"/>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s="51"/>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44">
        <v>65000</v>
      </c>
      <c r="AJ45" s="14"/>
      <c r="AK45" s="10"/>
      <c r="AL45" s="12" t="s">
        <v>7</v>
      </c>
      <c r="AM45" s="13">
        <v>0</v>
      </c>
      <c r="AN45" s="14"/>
      <c r="AO45" s="10"/>
      <c r="AP45" s="12" t="s">
        <v>7</v>
      </c>
      <c r="AQ45" s="13">
        <v>0</v>
      </c>
      <c r="AR45" s="14"/>
      <c r="AS45" s="10"/>
      <c r="AT45" s="12" t="s">
        <v>7</v>
      </c>
      <c r="AU45" s="13">
        <v>0</v>
      </c>
      <c r="AV45" s="14"/>
      <c r="AW45" s="10"/>
      <c r="AX45" s="12" t="s">
        <v>7</v>
      </c>
      <c r="AY45" s="13">
        <v>0</v>
      </c>
      <c r="AZ45" s="14"/>
      <c r="BA45" s="51"/>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s="51"/>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54" t="s">
        <v>269</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s="51"/>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54" t="s">
        <v>131</v>
      </c>
      <c r="AJ48" s="43">
        <v>2000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s="51"/>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6">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s="51"/>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s="51"/>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s="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13">
        <v>0</v>
      </c>
      <c r="AJ52" s="14"/>
      <c r="AK52" s="10"/>
      <c r="AL52" s="12" t="s">
        <v>7</v>
      </c>
      <c r="AM52" s="13">
        <v>0</v>
      </c>
      <c r="AN52" s="14"/>
      <c r="AO52" s="10"/>
      <c r="AP52" s="12" t="s">
        <v>7</v>
      </c>
      <c r="AQ52" s="13">
        <v>0</v>
      </c>
      <c r="AR52" s="14"/>
      <c r="AS52" s="10"/>
      <c r="AT52" s="12" t="s">
        <v>7</v>
      </c>
      <c r="AU52" s="13">
        <v>0</v>
      </c>
      <c r="AV52" s="14"/>
      <c r="AW52" s="10"/>
      <c r="AX52" s="12" t="s">
        <v>7</v>
      </c>
      <c r="AY52" s="13">
        <v>0</v>
      </c>
      <c r="AZ52" s="14"/>
      <c r="BA52" s="51"/>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s="51"/>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13" t="s">
        <v>4</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s="51"/>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15" t="s">
        <v>13</v>
      </c>
      <c r="AJ55" s="14">
        <v>0</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s="51"/>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s="51"/>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s="51"/>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s="51"/>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s="51"/>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s="51"/>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s="5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s="51"/>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s="51"/>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s="51"/>
    </row>
    <row r="65" spans="1:53"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s="51"/>
    </row>
    <row r="66" spans="1:53"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s="51"/>
    </row>
    <row r="67" spans="1:53"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s="51"/>
    </row>
    <row r="68" spans="1:53"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s="51"/>
    </row>
    <row r="69" spans="1:53"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s="51"/>
    </row>
    <row r="70" spans="1:53"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s="51"/>
    </row>
    <row r="71" spans="1:53"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s="51"/>
    </row>
    <row r="72" spans="1:53"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s="51"/>
    </row>
    <row r="73" spans="1:53" ht="15" customHeight="1">
      <c r="A73" s="11"/>
      <c r="B73" s="22" t="s">
        <v>8</v>
      </c>
      <c r="C73" s="23">
        <v>200</v>
      </c>
      <c r="D73" s="24"/>
      <c r="E73" s="25"/>
      <c r="F73" s="22" t="s">
        <v>8</v>
      </c>
      <c r="G73" s="23">
        <v>1000</v>
      </c>
      <c r="H73" s="24"/>
      <c r="I73" s="25"/>
      <c r="J73" s="22" t="s">
        <v>8</v>
      </c>
      <c r="K73" s="23">
        <v>1000</v>
      </c>
      <c r="L73" s="24"/>
      <c r="M73" s="25"/>
      <c r="N73" s="22" t="s">
        <v>8</v>
      </c>
      <c r="O73" s="23">
        <v>2000</v>
      </c>
      <c r="P73" s="24"/>
      <c r="Q73" s="25"/>
      <c r="R73" s="22" t="s">
        <v>8</v>
      </c>
      <c r="S73" s="23">
        <v>0</v>
      </c>
      <c r="T73" s="24"/>
      <c r="U73" s="25"/>
      <c r="V73" s="22" t="s">
        <v>8</v>
      </c>
      <c r="W73" s="23">
        <v>5000</v>
      </c>
      <c r="X73" s="24"/>
      <c r="Y73" s="25"/>
      <c r="Z73" s="22" t="s">
        <v>8</v>
      </c>
      <c r="AA73" s="23">
        <v>1000</v>
      </c>
      <c r="AB73" s="24"/>
      <c r="AC73" s="25"/>
      <c r="AD73" s="22" t="s">
        <v>8</v>
      </c>
      <c r="AE73" s="23">
        <v>1000</v>
      </c>
      <c r="AF73" s="24"/>
      <c r="AG73" s="25"/>
      <c r="AH73" s="22" t="s">
        <v>8</v>
      </c>
      <c r="AI73" s="23">
        <v>1000</v>
      </c>
      <c r="AJ73" s="24"/>
      <c r="AK73" s="25"/>
      <c r="AL73" s="22" t="s">
        <v>8</v>
      </c>
      <c r="AM73" s="23">
        <v>0</v>
      </c>
      <c r="AN73" s="24"/>
      <c r="AO73" s="25"/>
      <c r="AP73" s="22" t="s">
        <v>8</v>
      </c>
      <c r="AQ73" s="23">
        <v>0</v>
      </c>
      <c r="AR73" s="24"/>
      <c r="AS73" s="25"/>
      <c r="AT73" s="22" t="s">
        <v>8</v>
      </c>
      <c r="AU73" s="23">
        <v>0</v>
      </c>
      <c r="AV73" s="24"/>
      <c r="AW73" s="25"/>
      <c r="AX73" s="22" t="s">
        <v>8</v>
      </c>
      <c r="AY73" s="23">
        <v>0</v>
      </c>
      <c r="AZ73" s="24"/>
      <c r="BA73" s="51"/>
    </row>
    <row r="74" spans="1:53"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1</v>
      </c>
      <c r="X74" s="28"/>
      <c r="Y74" s="25"/>
      <c r="Z74" s="26" t="s">
        <v>10</v>
      </c>
      <c r="AA74" s="45">
        <v>1</v>
      </c>
      <c r="AB74" s="28"/>
      <c r="AC74" s="25"/>
      <c r="AD74" s="26" t="s">
        <v>10</v>
      </c>
      <c r="AE74" s="27">
        <v>1</v>
      </c>
      <c r="AF74" s="28"/>
      <c r="AG74" s="25"/>
      <c r="AH74" s="26" t="s">
        <v>10</v>
      </c>
      <c r="AI74" s="45">
        <v>1</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s="51"/>
    </row>
    <row r="75" spans="1:53" s="32" customFormat="1" ht="15.7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21</v>
      </c>
      <c r="AN75" s="28"/>
      <c r="AO75" s="31"/>
      <c r="AP75" s="26" t="s">
        <v>18</v>
      </c>
      <c r="AQ75" s="27" t="s">
        <v>21</v>
      </c>
      <c r="AR75" s="28"/>
      <c r="AS75" s="31"/>
      <c r="AT75" s="26" t="s">
        <v>18</v>
      </c>
      <c r="AU75" s="27" t="s">
        <v>21</v>
      </c>
      <c r="AV75" s="28"/>
      <c r="AW75" s="31"/>
      <c r="AX75" s="26" t="s">
        <v>18</v>
      </c>
      <c r="AY75" s="27" t="s">
        <v>21</v>
      </c>
      <c r="AZ75" s="28"/>
      <c r="BA75" s="51"/>
    </row>
    <row r="76" spans="1:53" s="7" customFormat="1" ht="15.75">
      <c r="A76" s="51"/>
      <c r="B76" s="51"/>
      <c r="C76" s="51"/>
      <c r="D76" s="51"/>
      <c r="E76" s="51"/>
      <c r="F76" s="51"/>
      <c r="G76" s="51"/>
      <c r="H76" s="51"/>
      <c r="I76" s="5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row>
    <row r="77" spans="1:53" s="7" customFormat="1" ht="15.75">
      <c r="A77" s="51"/>
      <c r="B77" s="35" t="s">
        <v>119</v>
      </c>
      <c r="C77" s="36" t="s">
        <v>68</v>
      </c>
      <c r="D77" s="4" t="s">
        <v>36</v>
      </c>
      <c r="E77" s="51"/>
      <c r="F77" s="35" t="s">
        <v>119</v>
      </c>
      <c r="G77" s="36" t="s">
        <v>132</v>
      </c>
      <c r="H77" s="4" t="s">
        <v>36</v>
      </c>
      <c r="I77" s="51"/>
      <c r="J77" s="35" t="s">
        <v>5</v>
      </c>
      <c r="K77" s="47" t="s">
        <v>33</v>
      </c>
      <c r="L77" s="48" t="s">
        <v>36</v>
      </c>
      <c r="M77" s="51"/>
      <c r="N77" s="35" t="s">
        <v>5</v>
      </c>
      <c r="O77" s="36" t="s">
        <v>19</v>
      </c>
      <c r="P77" s="4" t="s">
        <v>37</v>
      </c>
      <c r="Q77" s="51"/>
      <c r="R77" s="35" t="s">
        <v>5</v>
      </c>
      <c r="S77" s="36" t="s">
        <v>51</v>
      </c>
      <c r="T77" s="4" t="s">
        <v>36</v>
      </c>
      <c r="U77" s="51"/>
      <c r="V77" s="35" t="s">
        <v>5</v>
      </c>
      <c r="W77" s="36" t="s">
        <v>52</v>
      </c>
      <c r="X77" s="48" t="s">
        <v>37</v>
      </c>
      <c r="Y77" s="51"/>
      <c r="Z77" s="35" t="s">
        <v>5</v>
      </c>
      <c r="AA77" s="36" t="s">
        <v>53</v>
      </c>
      <c r="AB77" s="48" t="s">
        <v>37</v>
      </c>
      <c r="AC77" s="51"/>
      <c r="AD77" s="35" t="s">
        <v>5</v>
      </c>
      <c r="AE77" s="36" t="s">
        <v>143</v>
      </c>
      <c r="AF77" s="4" t="s">
        <v>37</v>
      </c>
      <c r="AG77" s="51"/>
      <c r="AH77" s="35" t="s">
        <v>5</v>
      </c>
      <c r="AI77" s="36" t="s">
        <v>144</v>
      </c>
      <c r="AJ77" s="4" t="s">
        <v>36</v>
      </c>
      <c r="AK77" s="51"/>
      <c r="AL77" s="35" t="s">
        <v>5</v>
      </c>
      <c r="AM77" s="36" t="s">
        <v>145</v>
      </c>
      <c r="AN77" s="4" t="s">
        <v>37</v>
      </c>
      <c r="AO77" s="51"/>
      <c r="AP77" s="35" t="s">
        <v>5</v>
      </c>
      <c r="AQ77" s="36" t="s">
        <v>145</v>
      </c>
      <c r="AR77" s="4" t="s">
        <v>37</v>
      </c>
      <c r="AS77" s="51"/>
      <c r="AT77" s="35" t="s">
        <v>5</v>
      </c>
      <c r="AU77" s="36" t="s">
        <v>145</v>
      </c>
      <c r="AV77" s="4" t="s">
        <v>37</v>
      </c>
      <c r="AW77" s="51"/>
      <c r="AX77" s="35" t="s">
        <v>5</v>
      </c>
      <c r="AY77" s="47" t="s">
        <v>193</v>
      </c>
      <c r="AZ77" s="48" t="s">
        <v>36</v>
      </c>
      <c r="BA77" s="51"/>
    </row>
    <row r="78" spans="1:53" s="7" customFormat="1" ht="15.75">
      <c r="A78" s="51"/>
      <c r="B78" s="35" t="s">
        <v>38</v>
      </c>
      <c r="C78" s="36" t="s">
        <v>126</v>
      </c>
      <c r="D78" s="38" t="s">
        <v>120</v>
      </c>
      <c r="E78" s="51"/>
      <c r="F78" s="35" t="s">
        <v>38</v>
      </c>
      <c r="G78" s="36" t="s">
        <v>126</v>
      </c>
      <c r="H78" s="38" t="s">
        <v>120</v>
      </c>
      <c r="I78" s="51"/>
      <c r="J78" s="35" t="s">
        <v>38</v>
      </c>
      <c r="K78" s="47" t="s">
        <v>42</v>
      </c>
      <c r="L78" s="47">
        <v>0</v>
      </c>
      <c r="M78" s="51"/>
      <c r="N78" s="35" t="s">
        <v>38</v>
      </c>
      <c r="O78" s="36" t="s">
        <v>43</v>
      </c>
      <c r="P78" s="38">
        <v>15</v>
      </c>
      <c r="Q78" s="51"/>
      <c r="R78" s="35" t="s">
        <v>38</v>
      </c>
      <c r="S78" s="36" t="s">
        <v>62</v>
      </c>
      <c r="T78" s="38" t="s">
        <v>63</v>
      </c>
      <c r="U78" s="51"/>
      <c r="V78" s="35" t="s">
        <v>38</v>
      </c>
      <c r="W78" s="36" t="s">
        <v>62</v>
      </c>
      <c r="X78" s="38" t="s">
        <v>64</v>
      </c>
      <c r="Y78" s="51"/>
      <c r="Z78" s="35" t="s">
        <v>38</v>
      </c>
      <c r="AA78" s="36" t="s">
        <v>62</v>
      </c>
      <c r="AB78" s="38" t="s">
        <v>65</v>
      </c>
      <c r="AC78" s="51"/>
      <c r="AD78" s="35" t="s">
        <v>38</v>
      </c>
      <c r="AE78" s="36" t="s">
        <v>43</v>
      </c>
      <c r="AF78" s="38" t="s">
        <v>146</v>
      </c>
      <c r="AG78" s="51"/>
      <c r="AH78" s="35" t="s">
        <v>38</v>
      </c>
      <c r="AI78" s="36" t="s">
        <v>42</v>
      </c>
      <c r="AJ78" s="36">
        <v>0</v>
      </c>
      <c r="AK78" s="51"/>
      <c r="AL78" s="35" t="s">
        <v>38</v>
      </c>
      <c r="AM78" s="36" t="s">
        <v>147</v>
      </c>
      <c r="AN78" s="36">
        <v>1</v>
      </c>
      <c r="AO78" s="51"/>
      <c r="AP78" s="35" t="s">
        <v>38</v>
      </c>
      <c r="AQ78" s="36" t="s">
        <v>147</v>
      </c>
      <c r="AR78" s="36">
        <v>2</v>
      </c>
      <c r="AS78" s="51"/>
      <c r="AT78" s="35" t="s">
        <v>38</v>
      </c>
      <c r="AU78" s="36" t="s">
        <v>147</v>
      </c>
      <c r="AV78" s="36">
        <v>3</v>
      </c>
      <c r="AW78" s="51"/>
      <c r="AX78" s="35" t="s">
        <v>38</v>
      </c>
      <c r="AY78" s="47" t="s">
        <v>194</v>
      </c>
      <c r="AZ78" s="49" t="s">
        <v>65</v>
      </c>
      <c r="BA78" s="51"/>
    </row>
    <row r="79" spans="1:53" s="7" customFormat="1" ht="15.75">
      <c r="A79" s="51"/>
      <c r="B79" s="35" t="s">
        <v>38</v>
      </c>
      <c r="C79" s="36" t="s">
        <v>125</v>
      </c>
      <c r="D79" s="38" t="s">
        <v>134</v>
      </c>
      <c r="E79" s="51"/>
      <c r="F79" s="35" t="s">
        <v>38</v>
      </c>
      <c r="G79" s="36" t="s">
        <v>125</v>
      </c>
      <c r="H79" s="38" t="s">
        <v>134</v>
      </c>
      <c r="I79" s="51"/>
      <c r="J79" s="35" t="s">
        <v>38</v>
      </c>
      <c r="K79" s="47" t="s">
        <v>39</v>
      </c>
      <c r="L79" s="47">
        <v>2000</v>
      </c>
      <c r="M79" s="51"/>
      <c r="N79" s="35" t="s">
        <v>38</v>
      </c>
      <c r="O79" s="36" t="s">
        <v>44</v>
      </c>
      <c r="P79" s="38" t="s">
        <v>45</v>
      </c>
      <c r="Q79" s="51"/>
      <c r="R79" s="35" t="s">
        <v>38</v>
      </c>
      <c r="S79" s="36" t="s">
        <v>54</v>
      </c>
      <c r="T79" s="49" t="s">
        <v>235</v>
      </c>
      <c r="U79" s="51"/>
      <c r="V79" s="35" t="s">
        <v>38</v>
      </c>
      <c r="W79" s="36" t="s">
        <v>54</v>
      </c>
      <c r="X79" s="38" t="s">
        <v>115</v>
      </c>
      <c r="Y79" s="51"/>
      <c r="Z79" s="35" t="s">
        <v>38</v>
      </c>
      <c r="AA79" s="36" t="s">
        <v>54</v>
      </c>
      <c r="AB79" s="38" t="s">
        <v>118</v>
      </c>
      <c r="AC79" s="51"/>
      <c r="AD79" s="35" t="s">
        <v>38</v>
      </c>
      <c r="AE79" s="36" t="s">
        <v>148</v>
      </c>
      <c r="AF79" s="38" t="s">
        <v>64</v>
      </c>
      <c r="AG79" s="51"/>
      <c r="AH79" s="35" t="s">
        <v>38</v>
      </c>
      <c r="AI79" s="36" t="s">
        <v>149</v>
      </c>
      <c r="AJ79" s="47">
        <v>400</v>
      </c>
      <c r="AK79" s="51"/>
      <c r="AL79" s="35" t="s">
        <v>38</v>
      </c>
      <c r="AM79" s="36" t="s">
        <v>150</v>
      </c>
      <c r="AN79" s="36">
        <v>1200</v>
      </c>
      <c r="AO79" s="51"/>
      <c r="AP79" s="35" t="s">
        <v>38</v>
      </c>
      <c r="AQ79" s="36" t="s">
        <v>150</v>
      </c>
      <c r="AR79" s="36">
        <v>600</v>
      </c>
      <c r="AS79" s="51"/>
      <c r="AT79" s="35" t="s">
        <v>38</v>
      </c>
      <c r="AU79" s="36" t="s">
        <v>150</v>
      </c>
      <c r="AV79" s="36">
        <v>300</v>
      </c>
      <c r="AW79" s="51"/>
      <c r="AX79" s="35" t="s">
        <v>38</v>
      </c>
      <c r="AY79" s="47" t="s">
        <v>195</v>
      </c>
      <c r="AZ79" s="49" t="s">
        <v>249</v>
      </c>
      <c r="BA79" s="51"/>
    </row>
    <row r="80" spans="1:53" s="7" customFormat="1" ht="15.75">
      <c r="A80" s="51"/>
      <c r="B80" s="35" t="s">
        <v>38</v>
      </c>
      <c r="C80" s="36" t="s">
        <v>126</v>
      </c>
      <c r="D80" s="38" t="s">
        <v>121</v>
      </c>
      <c r="E80" s="51"/>
      <c r="F80" s="35" t="s">
        <v>38</v>
      </c>
      <c r="G80" s="36" t="s">
        <v>126</v>
      </c>
      <c r="H80" s="38" t="s">
        <v>121</v>
      </c>
      <c r="I80" s="51"/>
      <c r="J80" s="35" t="s">
        <v>38</v>
      </c>
      <c r="K80" s="47" t="s">
        <v>40</v>
      </c>
      <c r="L80" s="47">
        <v>1000</v>
      </c>
      <c r="M80" s="51"/>
      <c r="N80" s="35" t="s">
        <v>38</v>
      </c>
      <c r="O80" s="36" t="s">
        <v>46</v>
      </c>
      <c r="P80" s="38" t="s">
        <v>47</v>
      </c>
      <c r="Q80" s="51"/>
      <c r="R80" s="35" t="s">
        <v>38</v>
      </c>
      <c r="S80" s="36" t="s">
        <v>67</v>
      </c>
      <c r="T80" s="38" t="s">
        <v>258</v>
      </c>
      <c r="U80" s="51"/>
      <c r="V80" s="35" t="s">
        <v>38</v>
      </c>
      <c r="W80" s="36" t="s">
        <v>67</v>
      </c>
      <c r="X80" s="38" t="s">
        <v>117</v>
      </c>
      <c r="Y80" s="51"/>
      <c r="Z80" s="35" t="s">
        <v>38</v>
      </c>
      <c r="AA80" s="36" t="s">
        <v>67</v>
      </c>
      <c r="AB80" s="38" t="s">
        <v>117</v>
      </c>
      <c r="AC80" s="51"/>
      <c r="AD80" s="35" t="s">
        <v>38</v>
      </c>
      <c r="AE80" s="36" t="s">
        <v>46</v>
      </c>
      <c r="AF80" s="38" t="s">
        <v>142</v>
      </c>
      <c r="AG80" s="51"/>
      <c r="AH80" s="35" t="s">
        <v>38</v>
      </c>
      <c r="AI80" s="36" t="s">
        <v>151</v>
      </c>
      <c r="AJ80" s="47">
        <v>100</v>
      </c>
      <c r="AK80" s="51"/>
      <c r="AL80" s="35" t="s">
        <v>38</v>
      </c>
      <c r="AM80" s="36" t="s">
        <v>152</v>
      </c>
      <c r="AN80" s="36">
        <v>300</v>
      </c>
      <c r="AO80" s="51"/>
      <c r="AP80" s="35" t="s">
        <v>38</v>
      </c>
      <c r="AQ80" s="36" t="s">
        <v>152</v>
      </c>
      <c r="AR80" s="36">
        <v>300</v>
      </c>
      <c r="AS80" s="51"/>
      <c r="AT80" s="35" t="s">
        <v>38</v>
      </c>
      <c r="AU80" s="36" t="s">
        <v>152</v>
      </c>
      <c r="AV80" s="36">
        <v>300</v>
      </c>
      <c r="AW80" s="51"/>
      <c r="AX80" s="35" t="s">
        <v>38</v>
      </c>
      <c r="AY80" s="47" t="s">
        <v>197</v>
      </c>
      <c r="AZ80" s="49" t="s">
        <v>231</v>
      </c>
      <c r="BA80" s="51"/>
    </row>
    <row r="81" spans="1:53" s="7" customFormat="1" ht="15.75">
      <c r="A81" s="51"/>
      <c r="B81" s="35" t="s">
        <v>38</v>
      </c>
      <c r="C81" s="36" t="s">
        <v>125</v>
      </c>
      <c r="D81" s="38" t="s">
        <v>122</v>
      </c>
      <c r="E81" s="51"/>
      <c r="F81" s="35" t="s">
        <v>38</v>
      </c>
      <c r="G81" s="36" t="s">
        <v>125</v>
      </c>
      <c r="H81" s="38" t="s">
        <v>122</v>
      </c>
      <c r="I81" s="51"/>
      <c r="J81" s="35" t="s">
        <v>38</v>
      </c>
      <c r="K81" s="47" t="s">
        <v>41</v>
      </c>
      <c r="L81" s="47">
        <v>500</v>
      </c>
      <c r="M81" s="51"/>
      <c r="N81" s="35" t="s">
        <v>38</v>
      </c>
      <c r="O81" s="36" t="s">
        <v>48</v>
      </c>
      <c r="P81" s="38" t="s">
        <v>49</v>
      </c>
      <c r="Q81" s="51"/>
      <c r="R81" s="35" t="s">
        <v>38</v>
      </c>
      <c r="S81" s="36" t="s">
        <v>66</v>
      </c>
      <c r="T81" s="38" t="s">
        <v>259</v>
      </c>
      <c r="U81" s="51"/>
      <c r="V81" s="35" t="s">
        <v>38</v>
      </c>
      <c r="W81" s="36" t="s">
        <v>66</v>
      </c>
      <c r="X81" s="38" t="s">
        <v>142</v>
      </c>
      <c r="Y81" s="51"/>
      <c r="Z81" s="35" t="s">
        <v>38</v>
      </c>
      <c r="AA81" s="36" t="s">
        <v>66</v>
      </c>
      <c r="AB81" s="38" t="s">
        <v>142</v>
      </c>
      <c r="AC81" s="51"/>
      <c r="AD81" s="35" t="s">
        <v>38</v>
      </c>
      <c r="AE81" s="36" t="s">
        <v>153</v>
      </c>
      <c r="AF81" s="38" t="s">
        <v>64</v>
      </c>
      <c r="AG81" s="51"/>
      <c r="AH81" s="35" t="s">
        <v>38</v>
      </c>
      <c r="AI81" s="36" t="s">
        <v>154</v>
      </c>
      <c r="AJ81" s="47">
        <v>100</v>
      </c>
      <c r="AK81" s="51"/>
      <c r="AL81" s="51"/>
      <c r="AM81" s="51"/>
      <c r="AN81" s="51"/>
      <c r="AO81" s="51"/>
      <c r="AP81" s="51"/>
      <c r="AQ81" s="51"/>
      <c r="AR81" s="51"/>
      <c r="AS81" s="51"/>
      <c r="AT81" s="51"/>
      <c r="AU81" s="51"/>
      <c r="AV81" s="51"/>
      <c r="AW81" s="51"/>
      <c r="AX81" s="35" t="s">
        <v>38</v>
      </c>
      <c r="AY81" s="47" t="s">
        <v>198</v>
      </c>
      <c r="AZ81" s="49" t="s">
        <v>236</v>
      </c>
      <c r="BA81" s="51"/>
    </row>
    <row r="82" spans="1:53" s="7" customFormat="1" ht="15.75">
      <c r="A82" s="51"/>
      <c r="B82" s="35" t="s">
        <v>38</v>
      </c>
      <c r="C82" s="36" t="s">
        <v>126</v>
      </c>
      <c r="D82" s="38" t="s">
        <v>123</v>
      </c>
      <c r="E82" s="51"/>
      <c r="F82" s="35" t="s">
        <v>38</v>
      </c>
      <c r="G82" s="36" t="s">
        <v>126</v>
      </c>
      <c r="H82" s="38" t="s">
        <v>123</v>
      </c>
      <c r="I82" s="51"/>
      <c r="J82" s="51"/>
      <c r="K82" s="51"/>
      <c r="L82" s="51"/>
      <c r="M82" s="51"/>
      <c r="N82" s="35" t="s">
        <v>38</v>
      </c>
      <c r="O82" s="36" t="s">
        <v>50</v>
      </c>
      <c r="P82" s="38" t="s">
        <v>47</v>
      </c>
      <c r="Q82" s="51"/>
      <c r="R82" s="35" t="s">
        <v>38</v>
      </c>
      <c r="S82" s="36" t="s">
        <v>57</v>
      </c>
      <c r="T82" s="38" t="s">
        <v>227</v>
      </c>
      <c r="U82" s="51"/>
      <c r="V82" s="35" t="s">
        <v>38</v>
      </c>
      <c r="W82" s="36" t="s">
        <v>57</v>
      </c>
      <c r="X82" s="38" t="s">
        <v>58</v>
      </c>
      <c r="Y82" s="51"/>
      <c r="Z82" s="35" t="s">
        <v>38</v>
      </c>
      <c r="AA82" s="36" t="s">
        <v>57</v>
      </c>
      <c r="AB82" s="38" t="s">
        <v>58</v>
      </c>
      <c r="AC82" s="51"/>
      <c r="AD82" s="35" t="s">
        <v>38</v>
      </c>
      <c r="AE82" s="36" t="s">
        <v>50</v>
      </c>
      <c r="AF82" s="38" t="s">
        <v>136</v>
      </c>
      <c r="AG82" s="51"/>
      <c r="AH82" s="35" t="s">
        <v>38</v>
      </c>
      <c r="AI82" s="36" t="s">
        <v>155</v>
      </c>
      <c r="AJ82" s="47">
        <v>200</v>
      </c>
      <c r="AK82" s="51"/>
      <c r="AL82" s="51"/>
      <c r="AM82" s="51"/>
      <c r="AN82" s="51"/>
      <c r="AO82" s="51"/>
      <c r="AP82" s="51"/>
      <c r="AQ82" s="51"/>
      <c r="AR82" s="51"/>
      <c r="AS82" s="51"/>
      <c r="AT82" s="51"/>
      <c r="AU82" s="51"/>
      <c r="AV82" s="51"/>
      <c r="AW82" s="51"/>
      <c r="AX82" s="35" t="s">
        <v>38</v>
      </c>
      <c r="AY82" s="47" t="s">
        <v>237</v>
      </c>
      <c r="AZ82" s="49" t="s">
        <v>238</v>
      </c>
      <c r="BA82" s="51"/>
    </row>
    <row r="83" spans="1:53" s="7" customFormat="1" ht="15.75">
      <c r="A83" s="51"/>
      <c r="B83" s="35" t="s">
        <v>38</v>
      </c>
      <c r="C83" s="36" t="s">
        <v>125</v>
      </c>
      <c r="D83" s="38" t="s">
        <v>135</v>
      </c>
      <c r="E83" s="51"/>
      <c r="F83" s="35" t="s">
        <v>38</v>
      </c>
      <c r="G83" s="36" t="s">
        <v>125</v>
      </c>
      <c r="H83" s="38" t="s">
        <v>135</v>
      </c>
      <c r="I83" s="51"/>
      <c r="J83" s="51"/>
      <c r="K83" s="51"/>
      <c r="L83" s="51"/>
      <c r="M83" s="51"/>
      <c r="N83" s="51"/>
      <c r="O83" s="51"/>
      <c r="P83" s="51"/>
      <c r="Q83" s="51"/>
      <c r="R83" s="35" t="s">
        <v>38</v>
      </c>
      <c r="S83" s="36" t="s">
        <v>55</v>
      </c>
      <c r="T83" s="49" t="s">
        <v>141</v>
      </c>
      <c r="U83" s="51"/>
      <c r="V83" s="35" t="s">
        <v>38</v>
      </c>
      <c r="W83" s="36" t="s">
        <v>55</v>
      </c>
      <c r="X83" s="38" t="s">
        <v>239</v>
      </c>
      <c r="Y83" s="51"/>
      <c r="Z83" s="35" t="s">
        <v>38</v>
      </c>
      <c r="AA83" s="36" t="s">
        <v>55</v>
      </c>
      <c r="AB83" s="38" t="s">
        <v>239</v>
      </c>
      <c r="AC83" s="51"/>
      <c r="AD83" s="35" t="s">
        <v>38</v>
      </c>
      <c r="AE83" s="36" t="s">
        <v>156</v>
      </c>
      <c r="AF83" s="38" t="s">
        <v>64</v>
      </c>
      <c r="AG83" s="51"/>
      <c r="AH83" s="35" t="s">
        <v>38</v>
      </c>
      <c r="AI83" s="36" t="s">
        <v>157</v>
      </c>
      <c r="AJ83" s="47">
        <v>100</v>
      </c>
      <c r="AK83" s="51"/>
      <c r="AL83" s="51"/>
      <c r="AM83" s="51"/>
      <c r="AN83" s="51"/>
      <c r="AO83" s="51"/>
      <c r="AP83" s="51"/>
      <c r="AQ83" s="51"/>
      <c r="AR83" s="51"/>
      <c r="AS83" s="51"/>
      <c r="AT83" s="51"/>
      <c r="AU83" s="51"/>
      <c r="AV83" s="51"/>
      <c r="AW83" s="51"/>
      <c r="AX83" s="35" t="s">
        <v>38</v>
      </c>
      <c r="AY83" s="47" t="s">
        <v>199</v>
      </c>
      <c r="AZ83" s="49" t="s">
        <v>240</v>
      </c>
      <c r="BA83" s="51"/>
    </row>
    <row r="84" spans="1:53" s="7" customFormat="1" ht="15.75">
      <c r="A84" s="51"/>
      <c r="B84" s="35" t="s">
        <v>38</v>
      </c>
      <c r="C84" s="36" t="s">
        <v>126</v>
      </c>
      <c r="D84" s="38" t="s">
        <v>124</v>
      </c>
      <c r="E84" s="51"/>
      <c r="F84" s="35" t="s">
        <v>38</v>
      </c>
      <c r="G84" s="36" t="s">
        <v>126</v>
      </c>
      <c r="H84" s="38" t="s">
        <v>124</v>
      </c>
      <c r="I84" s="51"/>
      <c r="J84" s="51"/>
      <c r="K84" s="51"/>
      <c r="L84" s="51"/>
      <c r="M84" s="51"/>
      <c r="N84" s="51"/>
      <c r="O84" s="51"/>
      <c r="P84" s="51"/>
      <c r="Q84" s="51"/>
      <c r="R84" s="35" t="s">
        <v>38</v>
      </c>
      <c r="S84" s="36" t="s">
        <v>56</v>
      </c>
      <c r="T84" s="49" t="s">
        <v>137</v>
      </c>
      <c r="U84" s="51"/>
      <c r="V84" s="35" t="s">
        <v>38</v>
      </c>
      <c r="W84" s="36" t="s">
        <v>56</v>
      </c>
      <c r="X84" s="38" t="s">
        <v>241</v>
      </c>
      <c r="Y84" s="51"/>
      <c r="Z84" s="35" t="s">
        <v>38</v>
      </c>
      <c r="AA84" s="36" t="s">
        <v>56</v>
      </c>
      <c r="AB84" s="38" t="s">
        <v>241</v>
      </c>
      <c r="AC84" s="51"/>
      <c r="AD84" s="35" t="s">
        <v>38</v>
      </c>
      <c r="AE84" s="36" t="s">
        <v>158</v>
      </c>
      <c r="AF84" s="38" t="s">
        <v>159</v>
      </c>
      <c r="AG84" s="51"/>
      <c r="AH84" s="35" t="s">
        <v>38</v>
      </c>
      <c r="AI84" s="36" t="s">
        <v>160</v>
      </c>
      <c r="AJ84" s="47">
        <v>800</v>
      </c>
      <c r="AK84" s="51"/>
      <c r="AL84" s="51"/>
      <c r="AM84" s="51"/>
      <c r="AN84" s="51"/>
      <c r="AO84" s="51"/>
      <c r="AP84" s="51"/>
      <c r="AQ84" s="51"/>
      <c r="AR84" s="51"/>
      <c r="AS84" s="51"/>
      <c r="AT84" s="51"/>
      <c r="AU84" s="51"/>
      <c r="AV84" s="51"/>
      <c r="AW84" s="51"/>
      <c r="AX84" s="35" t="s">
        <v>38</v>
      </c>
      <c r="AY84" s="47" t="s">
        <v>200</v>
      </c>
      <c r="AZ84" s="49" t="s">
        <v>242</v>
      </c>
      <c r="BA84" s="51"/>
    </row>
    <row r="85" spans="1:53" s="7" customFormat="1" ht="15.75">
      <c r="A85" s="51"/>
      <c r="B85" s="35" t="s">
        <v>38</v>
      </c>
      <c r="C85" s="36" t="s">
        <v>125</v>
      </c>
      <c r="D85" s="38" t="s">
        <v>136</v>
      </c>
      <c r="E85" s="51"/>
      <c r="F85" s="35" t="s">
        <v>38</v>
      </c>
      <c r="G85" s="36" t="s">
        <v>125</v>
      </c>
      <c r="H85" s="38" t="s">
        <v>136</v>
      </c>
      <c r="I85" s="51"/>
      <c r="J85" s="51"/>
      <c r="K85" s="51"/>
      <c r="L85" s="51"/>
      <c r="M85" s="51"/>
      <c r="N85" s="51"/>
      <c r="O85" s="51"/>
      <c r="P85" s="51"/>
      <c r="Q85" s="51"/>
      <c r="R85" s="35" t="s">
        <v>38</v>
      </c>
      <c r="S85" s="36" t="s">
        <v>59</v>
      </c>
      <c r="T85" s="49" t="s">
        <v>243</v>
      </c>
      <c r="U85" s="51"/>
      <c r="V85" s="35" t="s">
        <v>38</v>
      </c>
      <c r="W85" s="36" t="s">
        <v>59</v>
      </c>
      <c r="X85" s="38" t="s">
        <v>141</v>
      </c>
      <c r="Y85" s="51"/>
      <c r="Z85" s="35" t="s">
        <v>38</v>
      </c>
      <c r="AA85" s="36" t="s">
        <v>59</v>
      </c>
      <c r="AB85" s="38" t="s">
        <v>141</v>
      </c>
      <c r="AC85" s="51"/>
      <c r="AD85" s="51"/>
      <c r="AE85" s="51"/>
      <c r="AF85" s="51"/>
      <c r="AG85" s="51"/>
      <c r="AH85" s="35" t="s">
        <v>38</v>
      </c>
      <c r="AI85" s="36" t="s">
        <v>255</v>
      </c>
      <c r="AJ85" s="47">
        <v>100</v>
      </c>
      <c r="AK85" s="51"/>
      <c r="AL85" s="51"/>
      <c r="AM85" s="51"/>
      <c r="AN85" s="51"/>
      <c r="AO85" s="51"/>
      <c r="AP85" s="51"/>
      <c r="AQ85" s="51"/>
      <c r="AR85" s="51"/>
      <c r="AS85" s="51"/>
      <c r="AT85" s="51"/>
      <c r="AU85" s="51"/>
      <c r="AV85" s="51"/>
      <c r="AW85" s="51"/>
      <c r="AX85" s="35" t="s">
        <v>38</v>
      </c>
      <c r="AY85" s="47" t="s">
        <v>201</v>
      </c>
      <c r="AZ85" s="52">
        <f>ROUND(AZ80+AZ86*AZ82/1000, 0)</f>
        <v>355000</v>
      </c>
      <c r="BA85" s="51"/>
    </row>
    <row r="86" spans="1:53" s="7" customFormat="1" ht="15.75">
      <c r="A86" s="51"/>
      <c r="B86" s="41" t="s">
        <v>38</v>
      </c>
      <c r="C86" s="42" t="s">
        <v>127</v>
      </c>
      <c r="D86" s="38" t="s">
        <v>63</v>
      </c>
      <c r="E86" s="51"/>
      <c r="F86" s="41" t="s">
        <v>38</v>
      </c>
      <c r="G86" s="42" t="s">
        <v>127</v>
      </c>
      <c r="H86" s="38" t="s">
        <v>64</v>
      </c>
      <c r="I86" s="51"/>
      <c r="J86" s="51"/>
      <c r="K86" s="51"/>
      <c r="L86" s="51"/>
      <c r="M86" s="51"/>
      <c r="N86" s="51"/>
      <c r="O86" s="51"/>
      <c r="P86" s="51"/>
      <c r="Q86" s="51"/>
      <c r="R86" s="35" t="s">
        <v>38</v>
      </c>
      <c r="S86" s="36" t="s">
        <v>60</v>
      </c>
      <c r="T86" s="49" t="s">
        <v>241</v>
      </c>
      <c r="U86" s="51"/>
      <c r="V86" s="35" t="s">
        <v>38</v>
      </c>
      <c r="W86" s="36" t="s">
        <v>60</v>
      </c>
      <c r="X86" s="38" t="s">
        <v>138</v>
      </c>
      <c r="Y86" s="51"/>
      <c r="Z86" s="35" t="s">
        <v>38</v>
      </c>
      <c r="AA86" s="36" t="s">
        <v>60</v>
      </c>
      <c r="AB86" s="38" t="s">
        <v>138</v>
      </c>
      <c r="AC86" s="51"/>
      <c r="AD86" s="51"/>
      <c r="AE86" s="51"/>
      <c r="AF86" s="51"/>
      <c r="AG86" s="51"/>
      <c r="AH86" s="35" t="s">
        <v>38</v>
      </c>
      <c r="AI86" s="36" t="s">
        <v>256</v>
      </c>
      <c r="AJ86" s="47">
        <v>25500</v>
      </c>
      <c r="AK86" s="51"/>
      <c r="AL86" s="51"/>
      <c r="AM86" s="51"/>
      <c r="AN86" s="51"/>
      <c r="AO86" s="51"/>
      <c r="AP86" s="51"/>
      <c r="AQ86" s="51"/>
      <c r="AR86" s="51"/>
      <c r="AS86" s="51"/>
      <c r="AT86" s="51"/>
      <c r="AU86" s="51"/>
      <c r="AV86" s="51"/>
      <c r="AW86" s="51"/>
      <c r="AX86" s="41" t="s">
        <v>38</v>
      </c>
      <c r="AY86" s="53" t="s">
        <v>202</v>
      </c>
      <c r="AZ86" s="52">
        <f>ROUND((AZ79-AZ80)*1000/(AZ82-AZ81),0)</f>
        <v>6000</v>
      </c>
      <c r="BA86" s="51"/>
    </row>
    <row r="87" spans="1:53" s="7" customFormat="1" ht="15.75">
      <c r="A87" s="51"/>
      <c r="B87" s="51"/>
      <c r="C87" s="51"/>
      <c r="D87" s="51"/>
      <c r="E87" s="51"/>
      <c r="F87" s="51"/>
      <c r="G87" s="51"/>
      <c r="H87" s="51"/>
      <c r="I87" s="51"/>
      <c r="J87" s="51"/>
      <c r="K87" s="51"/>
      <c r="L87" s="51"/>
      <c r="M87" s="51"/>
      <c r="N87" s="51"/>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35" t="s">
        <v>38</v>
      </c>
      <c r="AY87" s="47" t="s">
        <v>203</v>
      </c>
      <c r="AZ87" s="52">
        <f>ROUND(AZ84+AZ88*AZ82/1000,0)</f>
        <v>285016</v>
      </c>
      <c r="BA87" s="51"/>
    </row>
    <row r="88" spans="1:53" s="7" customFormat="1" ht="15.75">
      <c r="A88" s="51"/>
      <c r="B88" s="51"/>
      <c r="C88" s="51"/>
      <c r="D88" s="51"/>
      <c r="E88" s="51"/>
      <c r="F88" s="51"/>
      <c r="G88" s="51"/>
      <c r="H88" s="51"/>
      <c r="I88" s="51"/>
      <c r="J88" s="51"/>
      <c r="K88" s="51"/>
      <c r="L88" s="51"/>
      <c r="M88" s="51"/>
      <c r="N88" s="51"/>
      <c r="O88" s="51"/>
      <c r="P88" s="51"/>
      <c r="Q88" s="51"/>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41" t="s">
        <v>38</v>
      </c>
      <c r="AY88" s="53" t="s">
        <v>204</v>
      </c>
      <c r="AZ88" s="52">
        <f>ROUND((AZ83-AZ84)*1000/(AZ82-AZ81),0)</f>
        <v>4667</v>
      </c>
    </row>
    <row r="89" spans="1:53" s="7" customFormat="1" ht="15.75">
      <c r="A89" s="51"/>
      <c r="B89" s="51"/>
      <c r="C89" s="51"/>
      <c r="D89" s="51"/>
      <c r="E89" s="51"/>
      <c r="F89" s="51"/>
      <c r="G89" s="51"/>
      <c r="H89" s="51"/>
      <c r="I89" s="51"/>
      <c r="J89" s="51"/>
      <c r="K89" s="51"/>
      <c r="L89" s="51"/>
      <c r="M89" s="51"/>
      <c r="N89" s="51"/>
      <c r="O89" s="51"/>
      <c r="P89" s="51"/>
      <c r="Q89" s="51"/>
      <c r="U89" s="51"/>
      <c r="V89" s="51"/>
      <c r="W89" s="51"/>
      <c r="X89" s="51"/>
      <c r="Y89" s="51"/>
      <c r="Z89" s="51"/>
      <c r="AA89" s="51"/>
      <c r="AB89" s="51"/>
      <c r="AC89" s="51"/>
      <c r="AD89" s="51"/>
      <c r="AE89" s="51"/>
      <c r="AF89" s="51"/>
      <c r="AG89" s="51"/>
      <c r="AH89" s="51"/>
      <c r="AI89" s="51"/>
      <c r="AJ89" s="51"/>
      <c r="AK89" s="51"/>
      <c r="AL89" s="51"/>
      <c r="AM89" s="51"/>
      <c r="AN89" s="51"/>
      <c r="AO89" s="51"/>
      <c r="AP89" s="51"/>
      <c r="AQ89" s="51"/>
      <c r="AR89" s="51"/>
      <c r="AS89" s="51"/>
      <c r="AT89" s="51"/>
      <c r="AU89" s="51"/>
      <c r="AV89" s="51"/>
      <c r="AW89" s="51"/>
      <c r="AX89" s="35" t="s">
        <v>38</v>
      </c>
      <c r="AY89" s="36" t="s">
        <v>226</v>
      </c>
      <c r="AZ89" s="49" t="s">
        <v>270</v>
      </c>
    </row>
    <row r="90" spans="1:53" s="7" customFormat="1" ht="15.75">
      <c r="A90" s="51"/>
      <c r="B90" s="51"/>
      <c r="C90" s="51"/>
      <c r="D90" s="51"/>
      <c r="E90" s="51"/>
      <c r="F90" s="51"/>
      <c r="G90" s="51"/>
      <c r="H90" s="51"/>
      <c r="I90" s="51"/>
      <c r="J90" s="51"/>
      <c r="K90" s="51"/>
      <c r="L90" s="51"/>
      <c r="M90" s="51"/>
      <c r="N90" s="51"/>
      <c r="O90" s="51"/>
      <c r="P90" s="51"/>
      <c r="Q90" s="51"/>
      <c r="U90" s="51"/>
      <c r="V90" s="51"/>
      <c r="W90" s="51"/>
      <c r="X90" s="51"/>
      <c r="Y90" s="51"/>
      <c r="Z90" s="51"/>
      <c r="AA90" s="51"/>
      <c r="AB90" s="51"/>
      <c r="AC90" s="51"/>
      <c r="AD90" s="51"/>
      <c r="AE90" s="51"/>
      <c r="AF90" s="51"/>
      <c r="AG90" s="51"/>
      <c r="AH90" s="51"/>
      <c r="AI90" s="51"/>
      <c r="AJ90" s="51"/>
      <c r="AK90" s="51"/>
      <c r="AL90" s="51"/>
      <c r="AM90" s="51"/>
      <c r="AN90" s="51"/>
      <c r="AO90" s="51"/>
      <c r="AP90" s="51"/>
      <c r="AQ90" s="51"/>
      <c r="AR90" s="51"/>
      <c r="AS90" s="51"/>
      <c r="AT90" s="51"/>
      <c r="AU90" s="51"/>
      <c r="AV90" s="51"/>
      <c r="AW90" s="51"/>
      <c r="AX90" s="35" t="s">
        <v>38</v>
      </c>
      <c r="AY90" s="36" t="s">
        <v>228</v>
      </c>
      <c r="AZ90" s="49" t="s">
        <v>270</v>
      </c>
    </row>
    <row r="91" spans="1:53" s="7" customFormat="1" ht="15.75">
      <c r="A91" s="51"/>
      <c r="B91" s="51"/>
      <c r="C91" s="51"/>
      <c r="D91" s="51"/>
      <c r="E91" s="51"/>
      <c r="F91" s="51"/>
      <c r="G91" s="51"/>
      <c r="H91" s="51"/>
      <c r="I91" s="51"/>
      <c r="J91" s="51"/>
      <c r="K91" s="51"/>
      <c r="L91" s="51"/>
      <c r="M91" s="51"/>
      <c r="N91" s="51"/>
      <c r="O91" s="51"/>
      <c r="P91" s="51"/>
      <c r="Q91" s="51"/>
      <c r="U91" s="51"/>
      <c r="V91" s="51"/>
      <c r="W91" s="51"/>
      <c r="X91" s="51"/>
      <c r="Y91" s="51"/>
      <c r="Z91" s="51"/>
      <c r="AA91" s="51"/>
      <c r="AB91" s="51"/>
      <c r="AC91" s="51"/>
      <c r="AD91" s="51"/>
      <c r="AE91" s="51"/>
      <c r="AF91" s="51"/>
      <c r="AG91" s="51"/>
      <c r="AH91" s="51"/>
      <c r="AI91" s="51"/>
      <c r="AJ91" s="51"/>
      <c r="AK91" s="51"/>
      <c r="AL91" s="51"/>
      <c r="AM91" s="51"/>
      <c r="AN91" s="51"/>
      <c r="AO91" s="51"/>
      <c r="AP91" s="51"/>
      <c r="AQ91" s="51"/>
      <c r="AR91" s="51"/>
      <c r="AS91" s="51"/>
      <c r="AT91" s="51"/>
      <c r="AU91" s="51"/>
      <c r="AV91" s="51"/>
      <c r="AW91" s="51"/>
      <c r="AX91" s="35" t="s">
        <v>38</v>
      </c>
      <c r="AY91" s="36" t="s">
        <v>229</v>
      </c>
      <c r="AZ91" s="49" t="s">
        <v>230</v>
      </c>
    </row>
    <row r="92" spans="1:53" s="7" customFormat="1" ht="15.75">
      <c r="A92" s="51"/>
      <c r="B92" s="51"/>
      <c r="C92" s="51"/>
      <c r="D92" s="51"/>
      <c r="E92" s="51"/>
      <c r="F92" s="51"/>
      <c r="G92" s="51"/>
      <c r="H92" s="51"/>
      <c r="I92" s="51"/>
      <c r="J92" s="51"/>
      <c r="K92" s="51"/>
      <c r="L92" s="51"/>
      <c r="M92" s="51"/>
      <c r="N92" s="51"/>
      <c r="O92" s="51"/>
      <c r="P92" s="51"/>
      <c r="Q92" s="51"/>
      <c r="U92" s="51"/>
      <c r="V92" s="51"/>
      <c r="W92" s="51"/>
      <c r="X92" s="51"/>
      <c r="Y92" s="51"/>
      <c r="Z92" s="51"/>
      <c r="AA92" s="51"/>
      <c r="AB92" s="51"/>
      <c r="AC92" s="51"/>
      <c r="AD92" s="51"/>
      <c r="AE92" s="51"/>
      <c r="AF92" s="51"/>
      <c r="AG92" s="51"/>
      <c r="AH92" s="51"/>
      <c r="AI92" s="51"/>
      <c r="AJ92" s="51"/>
      <c r="AK92" s="51"/>
      <c r="AL92" s="51"/>
      <c r="AM92" s="51"/>
      <c r="AN92" s="51"/>
      <c r="AO92" s="51"/>
      <c r="AP92" s="51"/>
      <c r="AQ92" s="51"/>
      <c r="AR92" s="51"/>
      <c r="AS92" s="51"/>
      <c r="AT92" s="51"/>
      <c r="AU92" s="51"/>
      <c r="AV92" s="51"/>
      <c r="AW92" s="51"/>
      <c r="AX92" s="51"/>
    </row>
    <row r="93" spans="1:53" s="7" customFormat="1" ht="15.75">
      <c r="A93" s="51"/>
      <c r="B93" s="51"/>
      <c r="C93" s="51"/>
      <c r="D93" s="51"/>
      <c r="E93" s="51"/>
      <c r="F93" s="51"/>
      <c r="G93" s="51"/>
      <c r="H93" s="51"/>
      <c r="I93" s="51"/>
      <c r="J93" s="51"/>
      <c r="K93" s="51"/>
      <c r="L93" s="51"/>
      <c r="M93" s="51"/>
      <c r="N93" s="51"/>
      <c r="O93" s="51"/>
      <c r="P93" s="51"/>
      <c r="Q93" s="51"/>
      <c r="U93" s="51"/>
      <c r="V93" s="51"/>
      <c r="W93" s="51"/>
      <c r="X93" s="51"/>
      <c r="Y93" s="51"/>
      <c r="Z93" s="51"/>
      <c r="AA93" s="51"/>
      <c r="AB93" s="51"/>
      <c r="AC93" s="51"/>
      <c r="AD93" s="51"/>
      <c r="AE93" s="51"/>
      <c r="AF93" s="51"/>
      <c r="AG93" s="51"/>
      <c r="AH93" s="51"/>
      <c r="AI93" s="51"/>
      <c r="AJ93" s="51"/>
      <c r="AK93" s="51"/>
      <c r="AL93" s="51"/>
      <c r="AM93" s="51"/>
      <c r="AN93" s="51"/>
      <c r="AO93" s="51"/>
      <c r="AP93" s="51"/>
      <c r="AQ93" s="51"/>
      <c r="AR93" s="51"/>
      <c r="AS93" s="51"/>
      <c r="AT93" s="51"/>
      <c r="AU93" s="51"/>
      <c r="AV93" s="51"/>
      <c r="AW93" s="51"/>
      <c r="AX93" s="51"/>
    </row>
    <row r="94" spans="1:53" s="7" customFormat="1" ht="15.75">
      <c r="A94" s="51"/>
      <c r="B94" s="51"/>
      <c r="C94" s="51"/>
      <c r="D94" s="51"/>
      <c r="E94" s="51"/>
      <c r="F94" s="51"/>
      <c r="G94" s="51"/>
      <c r="H94" s="51"/>
      <c r="I94" s="51"/>
      <c r="J94" s="51"/>
      <c r="K94" s="51"/>
      <c r="L94" s="51"/>
      <c r="M94" s="51"/>
      <c r="N94" s="51"/>
      <c r="O94" s="51"/>
      <c r="P94" s="51"/>
      <c r="Q94" s="51"/>
      <c r="U94" s="51"/>
      <c r="V94" s="51"/>
      <c r="W94" s="51"/>
      <c r="X94" s="51"/>
      <c r="Y94" s="51"/>
      <c r="Z94" s="51"/>
      <c r="AA94" s="51"/>
      <c r="AB94" s="51"/>
      <c r="AC94" s="51"/>
      <c r="AD94" s="51"/>
      <c r="AE94" s="51"/>
      <c r="AF94" s="51"/>
      <c r="AG94" s="51"/>
      <c r="AH94" s="51"/>
      <c r="AI94" s="51"/>
      <c r="AJ94" s="51"/>
      <c r="AK94" s="51"/>
      <c r="AL94" s="51"/>
      <c r="AM94" s="51"/>
      <c r="AN94" s="51"/>
      <c r="AO94" s="51"/>
      <c r="AP94" s="51"/>
      <c r="AQ94" s="51"/>
      <c r="AR94" s="51"/>
      <c r="AS94" s="51"/>
      <c r="AT94" s="51"/>
      <c r="AU94" s="51"/>
      <c r="AV94" s="51"/>
      <c r="AW94" s="51"/>
      <c r="AX94" s="51"/>
    </row>
    <row r="95" spans="1:53" ht="15.75">
      <c r="A95" s="51"/>
      <c r="B95" s="51"/>
      <c r="C95" s="51"/>
      <c r="D95" s="51"/>
      <c r="E95" s="51"/>
      <c r="F95" s="51"/>
      <c r="G95" s="51"/>
      <c r="H95" s="51"/>
      <c r="I95" s="51"/>
      <c r="J95" s="51"/>
      <c r="K95" s="51"/>
      <c r="L95" s="51"/>
      <c r="M95" s="51"/>
      <c r="N95" s="51"/>
      <c r="O95" s="51"/>
      <c r="P95" s="51"/>
      <c r="Q95" s="51"/>
      <c r="U95" s="51"/>
      <c r="V95" s="51"/>
      <c r="W95" s="51"/>
      <c r="X95" s="51"/>
      <c r="Y95" s="51"/>
      <c r="Z95" s="51"/>
      <c r="AA95" s="51"/>
      <c r="AB95" s="51"/>
      <c r="AC95" s="51"/>
      <c r="AD95" s="51"/>
      <c r="AE95" s="51"/>
      <c r="AF95" s="51"/>
      <c r="AG95" s="51"/>
      <c r="AH95" s="51"/>
      <c r="AI95" s="51"/>
      <c r="AJ95" s="51"/>
      <c r="AK95" s="51"/>
      <c r="AL95" s="51"/>
      <c r="AM95" s="51"/>
      <c r="AN95" s="51"/>
      <c r="AO95" s="51"/>
      <c r="AP95" s="51"/>
      <c r="AQ95" s="51"/>
      <c r="AR95" s="51"/>
      <c r="AS95" s="51"/>
      <c r="AT95" s="51"/>
      <c r="AU95" s="51"/>
      <c r="AV95" s="51"/>
      <c r="AW95" s="51"/>
      <c r="AX95" s="51"/>
      <c r="AY95" s="1"/>
      <c r="AZ95" s="1"/>
      <c r="BA95" s="1"/>
    </row>
    <row r="96" spans="1:53" ht="15.75">
      <c r="A96" s="51"/>
      <c r="B96" s="51"/>
      <c r="C96" s="51"/>
      <c r="D96" s="51"/>
      <c r="E96" s="51"/>
      <c r="F96" s="51"/>
      <c r="G96" s="51"/>
      <c r="H96" s="51"/>
      <c r="I96" s="51"/>
      <c r="J96" s="51"/>
      <c r="K96" s="51"/>
      <c r="L96" s="51"/>
      <c r="M96" s="51"/>
      <c r="N96" s="51"/>
      <c r="O96" s="51"/>
      <c r="P96" s="51"/>
      <c r="Q96" s="51"/>
      <c r="U96" s="51"/>
      <c r="V96" s="51"/>
      <c r="W96" s="51"/>
      <c r="X96" s="51"/>
      <c r="Y96" s="51"/>
      <c r="Z96" s="51"/>
      <c r="AA96" s="51"/>
      <c r="AB96" s="51"/>
      <c r="AC96" s="51"/>
      <c r="AD96" s="51"/>
      <c r="AE96" s="51"/>
      <c r="AF96" s="51"/>
      <c r="AG96" s="51"/>
      <c r="AH96" s="51"/>
      <c r="AI96" s="51"/>
      <c r="AJ96" s="51"/>
      <c r="AK96" s="51"/>
      <c r="AL96" s="51"/>
      <c r="AM96" s="51"/>
      <c r="AN96" s="51"/>
      <c r="AO96" s="51"/>
      <c r="AP96" s="51"/>
      <c r="AQ96" s="51"/>
      <c r="AR96" s="51"/>
      <c r="AS96" s="51"/>
      <c r="AT96" s="51"/>
      <c r="AU96" s="51"/>
      <c r="AV96" s="51"/>
      <c r="AW96" s="51"/>
      <c r="AX96" s="51"/>
      <c r="AY96" s="1"/>
      <c r="AZ96" s="1"/>
      <c r="BA96" s="1"/>
    </row>
    <row r="97" spans="1:53" ht="15.75">
      <c r="A97" s="51"/>
      <c r="B97" s="51"/>
      <c r="C97" s="51"/>
      <c r="D97" s="51"/>
      <c r="E97" s="51"/>
      <c r="F97" s="51"/>
      <c r="G97" s="51"/>
      <c r="H97" s="51"/>
      <c r="I97" s="51"/>
      <c r="J97" s="51"/>
      <c r="K97" s="51"/>
      <c r="L97" s="51"/>
      <c r="M97" s="51"/>
      <c r="N97" s="51"/>
      <c r="O97" s="51"/>
      <c r="P97" s="51"/>
      <c r="Q97" s="51"/>
      <c r="U97" s="51"/>
      <c r="V97" s="51"/>
      <c r="W97" s="51"/>
      <c r="X97" s="51"/>
      <c r="Y97" s="51"/>
      <c r="Z97" s="51"/>
      <c r="AA97" s="51"/>
      <c r="AB97" s="51"/>
      <c r="AC97" s="51"/>
      <c r="AD97" s="51"/>
      <c r="AE97" s="51"/>
      <c r="AF97" s="51"/>
      <c r="AG97" s="51"/>
      <c r="AH97" s="51"/>
      <c r="AI97" s="51"/>
      <c r="AJ97" s="51"/>
      <c r="AK97" s="51"/>
      <c r="AL97" s="51"/>
      <c r="AM97" s="51"/>
      <c r="AN97" s="51"/>
      <c r="AO97" s="51"/>
      <c r="AP97" s="51"/>
      <c r="AQ97" s="51"/>
      <c r="AR97" s="51"/>
      <c r="AS97" s="51"/>
      <c r="AT97" s="51"/>
      <c r="AU97" s="51"/>
      <c r="AV97" s="51"/>
      <c r="AW97" s="51"/>
      <c r="AX97" s="51"/>
      <c r="AY97" s="1"/>
      <c r="AZ97" s="1"/>
      <c r="BA97" s="1"/>
    </row>
    <row r="98" spans="1:53" ht="15.75">
      <c r="A98" s="51"/>
      <c r="B98" s="51"/>
      <c r="C98" s="51"/>
      <c r="D98" s="51"/>
      <c r="E98" s="51"/>
      <c r="F98" s="51"/>
      <c r="G98" s="51"/>
      <c r="H98" s="51"/>
      <c r="I98" s="51"/>
      <c r="J98" s="51"/>
      <c r="K98" s="51"/>
      <c r="L98" s="51"/>
      <c r="M98" s="51"/>
      <c r="N98" s="51"/>
      <c r="O98" s="51"/>
      <c r="P98" s="51"/>
      <c r="Q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c r="AT98" s="51"/>
      <c r="AU98" s="51"/>
      <c r="AV98" s="51"/>
      <c r="AW98" s="51"/>
      <c r="AX98" s="51"/>
      <c r="AY98" s="1"/>
      <c r="AZ98" s="1"/>
      <c r="BA98" s="1"/>
    </row>
    <row r="99" spans="1:53" ht="15.75">
      <c r="A99" s="51"/>
      <c r="B99" s="51"/>
      <c r="C99" s="51"/>
      <c r="D99" s="51"/>
      <c r="E99" s="51"/>
      <c r="F99" s="51"/>
      <c r="G99" s="51"/>
      <c r="H99" s="51"/>
      <c r="I99" s="51"/>
      <c r="J99" s="51"/>
      <c r="K99" s="51"/>
      <c r="L99" s="51"/>
      <c r="M99" s="51"/>
      <c r="N99" s="51"/>
      <c r="O99" s="51"/>
      <c r="P99" s="51"/>
      <c r="Q99" s="51"/>
      <c r="U99" s="51"/>
      <c r="V99" s="51"/>
      <c r="W99" s="51"/>
      <c r="X99" s="51"/>
      <c r="Y99" s="51"/>
      <c r="Z99" s="51"/>
      <c r="AA99" s="51"/>
      <c r="AB99" s="51"/>
      <c r="AC99" s="51"/>
      <c r="AD99" s="51"/>
      <c r="AE99" s="51"/>
      <c r="AF99" s="51"/>
      <c r="AG99" s="51"/>
      <c r="AH99" s="51"/>
      <c r="AI99" s="51"/>
      <c r="AJ99" s="51"/>
      <c r="AK99" s="51"/>
      <c r="AL99" s="51"/>
      <c r="AM99" s="51"/>
      <c r="AN99" s="51"/>
      <c r="AO99" s="51"/>
      <c r="AP99" s="51"/>
      <c r="AQ99" s="51"/>
      <c r="AR99" s="51"/>
      <c r="AS99" s="51"/>
      <c r="AT99" s="51"/>
      <c r="AU99" s="51"/>
      <c r="AV99" s="51"/>
      <c r="AW99" s="51"/>
      <c r="AX99" s="51"/>
      <c r="AY99" s="1"/>
      <c r="AZ99" s="1"/>
      <c r="BA99" s="1"/>
    </row>
    <row r="100" spans="1:53" ht="15.75">
      <c r="A100" s="51"/>
      <c r="B100" s="51"/>
      <c r="C100" s="51"/>
      <c r="D100" s="51"/>
      <c r="E100" s="51"/>
      <c r="F100" s="51"/>
      <c r="G100" s="51"/>
      <c r="H100" s="51"/>
      <c r="I100" s="51"/>
      <c r="J100" s="51"/>
      <c r="K100" s="51"/>
      <c r="L100" s="51"/>
      <c r="M100" s="51"/>
      <c r="N100" s="51"/>
      <c r="O100" s="51"/>
      <c r="P100" s="51"/>
      <c r="Q100" s="51"/>
      <c r="U100" s="51"/>
      <c r="V100" s="51"/>
      <c r="W100" s="51"/>
      <c r="X100" s="51"/>
      <c r="Y100" s="51"/>
      <c r="Z100" s="51"/>
      <c r="AA100" s="51"/>
      <c r="AB100" s="51"/>
      <c r="AC100" s="51"/>
      <c r="AD100" s="51"/>
      <c r="AE100" s="51"/>
      <c r="AF100" s="51"/>
      <c r="AG100" s="51"/>
      <c r="AH100" s="51"/>
      <c r="AI100" s="51"/>
      <c r="AJ100" s="51"/>
      <c r="AK100" s="51"/>
      <c r="AL100" s="51"/>
      <c r="AM100" s="51"/>
      <c r="AN100" s="51"/>
      <c r="AO100" s="51"/>
      <c r="AP100" s="51"/>
      <c r="AQ100" s="51"/>
      <c r="AR100" s="51"/>
      <c r="AS100" s="51"/>
      <c r="AT100" s="51"/>
      <c r="AU100" s="51"/>
      <c r="AV100" s="51"/>
      <c r="AW100" s="51"/>
      <c r="AX100" s="51"/>
      <c r="AY100" s="51"/>
      <c r="AZ100" s="51"/>
      <c r="BA100" s="51"/>
    </row>
    <row r="101" spans="1:53" ht="15.75">
      <c r="A101" s="51"/>
      <c r="B101" s="51"/>
      <c r="C101" s="51"/>
      <c r="D101" s="51"/>
      <c r="E101" s="51"/>
      <c r="F101" s="51"/>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c r="AT101" s="51"/>
      <c r="AU101" s="51"/>
      <c r="AV101" s="51"/>
      <c r="AW101" s="51"/>
      <c r="AX101" s="51"/>
      <c r="AY101" s="51"/>
      <c r="AZ101" s="51"/>
      <c r="BA101" s="51"/>
    </row>
    <row r="102" spans="1:53" ht="15.75">
      <c r="A102" s="51"/>
      <c r="B102" s="51"/>
      <c r="C102" s="51"/>
      <c r="D102" s="51"/>
      <c r="E102" s="51"/>
      <c r="F102" s="51"/>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c r="AT102" s="51"/>
      <c r="AU102" s="51"/>
      <c r="AV102" s="51"/>
      <c r="AW102" s="51"/>
      <c r="AX102" s="51"/>
      <c r="AY102" s="51"/>
      <c r="AZ102" s="51"/>
      <c r="BA102" s="51"/>
    </row>
    <row r="103" spans="1:53" ht="15.75">
      <c r="A103" s="51"/>
      <c r="B103" s="51"/>
      <c r="C103" s="51"/>
      <c r="D103" s="51"/>
      <c r="E103" s="51"/>
      <c r="F103" s="51"/>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c r="AJ103" s="51"/>
      <c r="AK103" s="51"/>
      <c r="AL103" s="51"/>
      <c r="AM103" s="51"/>
      <c r="AN103" s="51"/>
      <c r="AO103" s="51"/>
      <c r="AP103" s="51"/>
      <c r="AQ103" s="51"/>
      <c r="AR103" s="51"/>
      <c r="AS103" s="51"/>
      <c r="AT103" s="51"/>
      <c r="AU103" s="51"/>
      <c r="AV103" s="51"/>
      <c r="AW103" s="51"/>
      <c r="AX103" s="51"/>
      <c r="AY103" s="51"/>
      <c r="AZ103" s="51"/>
      <c r="BA103" s="51"/>
    </row>
    <row r="104" spans="1:53" ht="15.75">
      <c r="A104" s="51"/>
      <c r="B104" s="51"/>
      <c r="C104" s="51"/>
      <c r="D104" s="51"/>
      <c r="E104" s="51"/>
      <c r="F104" s="51"/>
      <c r="G104" s="51"/>
      <c r="H104" s="51"/>
      <c r="I104" s="51"/>
      <c r="J104" s="51"/>
      <c r="K104" s="51"/>
      <c r="L104" s="51"/>
      <c r="M104" s="51"/>
      <c r="N104" s="51"/>
      <c r="O104" s="51"/>
      <c r="P104" s="51"/>
      <c r="Q104" s="51"/>
      <c r="R104" s="51"/>
      <c r="S104" s="51"/>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c r="AT104" s="51"/>
      <c r="AU104" s="51"/>
      <c r="AV104" s="51"/>
      <c r="AW104" s="51"/>
      <c r="AX104" s="51"/>
      <c r="AY104" s="51"/>
      <c r="AZ104" s="51"/>
      <c r="BA104" s="51"/>
    </row>
    <row r="105" spans="1:53" ht="15.75">
      <c r="A105" s="51"/>
      <c r="B105" s="51"/>
      <c r="C105" s="51"/>
      <c r="D105" s="51"/>
      <c r="E105" s="51"/>
      <c r="F105" s="51"/>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c r="AD105" s="51"/>
      <c r="AE105" s="51"/>
      <c r="AF105" s="51"/>
      <c r="AG105" s="51"/>
      <c r="AH105" s="51"/>
      <c r="AI105" s="51"/>
      <c r="AJ105" s="51"/>
      <c r="AK105" s="51"/>
      <c r="AL105" s="51"/>
      <c r="AM105" s="51"/>
      <c r="AN105" s="51"/>
      <c r="AO105" s="51"/>
      <c r="AP105" s="51"/>
      <c r="AQ105" s="51"/>
      <c r="AR105" s="51"/>
      <c r="AS105" s="51"/>
      <c r="AT105" s="51"/>
      <c r="AU105" s="51"/>
      <c r="AV105" s="51"/>
      <c r="AW105" s="51"/>
      <c r="AX105" s="51"/>
      <c r="AY105" s="51"/>
      <c r="AZ105" s="51"/>
      <c r="BA105" s="51"/>
    </row>
    <row r="106" spans="1:53" ht="15.75">
      <c r="A106" s="51"/>
      <c r="B106" s="51"/>
      <c r="C106" s="51"/>
      <c r="D106" s="51"/>
      <c r="E106" s="51"/>
      <c r="F106" s="51"/>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c r="AV106" s="51"/>
      <c r="AW106" s="51"/>
      <c r="AX106" s="51"/>
      <c r="AY106" s="51"/>
      <c r="AZ106" s="51"/>
      <c r="BA106" s="51"/>
    </row>
    <row r="107" spans="1:53" ht="15.75">
      <c r="A107" s="51"/>
      <c r="B107" s="51"/>
      <c r="C107" s="51"/>
      <c r="D107" s="51"/>
      <c r="E107" s="51"/>
      <c r="F107" s="51"/>
      <c r="G107" s="51"/>
      <c r="H107" s="51"/>
      <c r="I107" s="5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c r="AV107" s="51"/>
      <c r="AW107" s="51"/>
      <c r="AX107" s="51"/>
      <c r="AY107" s="51"/>
      <c r="AZ107" s="51"/>
      <c r="BA107" s="51"/>
    </row>
    <row r="108" spans="1:53" ht="15.75">
      <c r="A108" s="51"/>
      <c r="B108" s="51"/>
      <c r="C108" s="51"/>
      <c r="D108" s="51"/>
      <c r="E108" s="51"/>
      <c r="F108" s="51"/>
      <c r="G108" s="51"/>
      <c r="H108" s="51"/>
      <c r="I108" s="5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c r="AV108" s="51"/>
      <c r="AW108" s="51"/>
      <c r="AX108" s="51"/>
      <c r="AY108" s="51"/>
      <c r="AZ108" s="51"/>
      <c r="BA108" s="51"/>
    </row>
    <row r="109" spans="1:53" ht="15.75">
      <c r="A109" s="51"/>
      <c r="B109" s="51"/>
      <c r="C109" s="51"/>
      <c r="D109" s="51"/>
      <c r="E109" s="51"/>
      <c r="F109" s="51"/>
      <c r="G109" s="51"/>
      <c r="H109" s="51"/>
      <c r="I109" s="5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c r="AV109" s="51"/>
      <c r="AW109" s="51"/>
      <c r="AX109" s="51"/>
      <c r="AY109" s="51"/>
      <c r="AZ109" s="51"/>
      <c r="BA109" s="51"/>
    </row>
    <row r="110" spans="1:53" ht="15.75">
      <c r="A110" s="51"/>
      <c r="B110" s="51"/>
      <c r="C110" s="51"/>
      <c r="D110" s="51"/>
      <c r="E110" s="51"/>
      <c r="F110" s="51"/>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c r="AV110" s="51"/>
      <c r="AW110" s="51"/>
      <c r="AX110" s="51"/>
      <c r="AY110" s="51"/>
      <c r="AZ110" s="51"/>
      <c r="BA110" s="51"/>
    </row>
    <row r="111" spans="1:53" ht="15.75">
      <c r="A111" s="51"/>
      <c r="B111" s="51"/>
      <c r="C111" s="51"/>
      <c r="D111" s="51"/>
      <c r="E111" s="51"/>
      <c r="F111" s="51"/>
      <c r="G111" s="51"/>
      <c r="H111" s="51"/>
      <c r="I111" s="5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c r="AV111" s="51"/>
      <c r="AW111" s="51"/>
      <c r="AX111" s="51"/>
      <c r="AY111" s="51"/>
      <c r="AZ111" s="51"/>
      <c r="BA111" s="51"/>
    </row>
    <row r="112" spans="1:53" ht="15.75">
      <c r="A112" s="51"/>
      <c r="B112" s="51"/>
      <c r="C112" s="51"/>
      <c r="D112" s="51"/>
      <c r="E112" s="51"/>
      <c r="F112" s="51"/>
      <c r="G112" s="51"/>
      <c r="H112" s="51"/>
      <c r="I112" s="5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c r="AV112" s="51"/>
      <c r="AW112" s="51"/>
      <c r="AX112" s="51"/>
      <c r="AY112" s="51"/>
      <c r="AZ112" s="51"/>
      <c r="BA112" s="51"/>
    </row>
    <row r="113" spans="1:53" ht="15.75">
      <c r="A113" s="51"/>
      <c r="B113" s="51"/>
      <c r="C113" s="51"/>
      <c r="D113" s="51"/>
      <c r="E113" s="51"/>
      <c r="F113" s="51"/>
      <c r="G113" s="51"/>
      <c r="H113" s="51"/>
      <c r="I113" s="5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c r="AV113" s="51"/>
      <c r="AW113" s="51"/>
      <c r="AX113" s="51"/>
      <c r="AY113" s="51"/>
      <c r="AZ113" s="51"/>
      <c r="BA113" s="51"/>
    </row>
    <row r="114" spans="1:53" ht="15.75">
      <c r="A114" s="51"/>
      <c r="B114" s="51"/>
      <c r="C114" s="51"/>
      <c r="D114" s="51"/>
      <c r="E114" s="51"/>
      <c r="F114" s="51"/>
      <c r="G114" s="51"/>
      <c r="H114" s="51"/>
      <c r="I114" s="5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c r="AV114" s="51"/>
      <c r="AW114" s="51"/>
      <c r="AX114" s="51"/>
      <c r="AY114" s="51"/>
      <c r="AZ114" s="51"/>
      <c r="BA114" s="51"/>
    </row>
    <row r="115" spans="1:53" ht="15.75">
      <c r="A115" s="51"/>
      <c r="B115" s="51"/>
      <c r="C115" s="51"/>
      <c r="D115" s="51"/>
      <c r="E115" s="51"/>
      <c r="F115" s="51"/>
      <c r="G115" s="51"/>
      <c r="H115" s="51"/>
      <c r="I115" s="5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c r="AV115" s="51"/>
      <c r="AW115" s="51"/>
      <c r="AX115" s="51"/>
      <c r="AY115" s="51"/>
      <c r="AZ115" s="51"/>
      <c r="BA115" s="51"/>
    </row>
    <row r="116" spans="1:53" ht="15.75">
      <c r="A116" s="51"/>
      <c r="B116" s="51"/>
      <c r="C116" s="51"/>
      <c r="D116" s="51"/>
      <c r="E116" s="51"/>
      <c r="F116" s="51"/>
      <c r="G116" s="51"/>
      <c r="H116" s="51"/>
      <c r="I116" s="51"/>
      <c r="J116" s="51"/>
      <c r="K116" s="51"/>
      <c r="L116" s="51"/>
      <c r="M116" s="51"/>
      <c r="N116" s="51"/>
      <c r="O116" s="51"/>
      <c r="P116" s="51"/>
      <c r="Q116" s="51"/>
      <c r="R116" s="51"/>
      <c r="S116" s="51"/>
      <c r="T116" s="51"/>
      <c r="U116" s="51"/>
      <c r="V116" s="51"/>
      <c r="W116" s="51"/>
      <c r="X116" s="51"/>
      <c r="Y116" s="51"/>
      <c r="Z116" s="51"/>
      <c r="AA116" s="51"/>
      <c r="AB116" s="51"/>
      <c r="AC116" s="51"/>
      <c r="AD116" s="51"/>
      <c r="AE116" s="51"/>
      <c r="AF116" s="51"/>
      <c r="AG116" s="51"/>
      <c r="AH116" s="51"/>
      <c r="AI116" s="51"/>
      <c r="AJ116" s="51"/>
      <c r="AK116" s="51"/>
      <c r="AL116" s="51"/>
      <c r="AM116" s="51"/>
      <c r="AN116" s="51"/>
      <c r="AO116" s="51"/>
      <c r="AP116" s="51"/>
      <c r="AQ116" s="51"/>
      <c r="AR116" s="51"/>
      <c r="AS116" s="51"/>
      <c r="AT116" s="51"/>
      <c r="AU116" s="51"/>
      <c r="AV116" s="51"/>
      <c r="AW116" s="51"/>
      <c r="AX116" s="51"/>
      <c r="AY116" s="51"/>
      <c r="AZ116" s="51"/>
      <c r="BA116" s="51"/>
    </row>
    <row r="117" spans="1:53" ht="15.75">
      <c r="A117" s="51"/>
      <c r="B117" s="51"/>
      <c r="C117" s="51"/>
      <c r="D117" s="51"/>
      <c r="E117" s="51"/>
      <c r="F117" s="51"/>
      <c r="G117" s="51"/>
      <c r="H117" s="51"/>
      <c r="I117" s="51"/>
      <c r="J117" s="51"/>
      <c r="K117" s="51"/>
      <c r="L117" s="51"/>
      <c r="M117" s="51"/>
      <c r="N117" s="51"/>
      <c r="O117" s="51"/>
      <c r="P117" s="51"/>
      <c r="Q117" s="51"/>
      <c r="R117" s="51"/>
      <c r="S117" s="51"/>
      <c r="T117" s="51"/>
      <c r="U117" s="51"/>
      <c r="V117" s="51"/>
      <c r="W117" s="51"/>
      <c r="X117" s="51"/>
      <c r="Y117" s="51"/>
      <c r="Z117" s="51"/>
      <c r="AA117" s="51"/>
      <c r="AB117" s="51"/>
      <c r="AC117" s="51"/>
      <c r="AD117" s="51"/>
      <c r="AE117" s="51"/>
      <c r="AF117" s="51"/>
      <c r="AG117" s="51"/>
      <c r="AH117" s="51"/>
      <c r="AI117" s="51"/>
      <c r="AJ117" s="51"/>
      <c r="AK117" s="51"/>
      <c r="AL117" s="51"/>
      <c r="AM117" s="51"/>
      <c r="AN117" s="51"/>
      <c r="AO117" s="51"/>
      <c r="AP117" s="51"/>
      <c r="AQ117" s="51"/>
      <c r="AR117" s="51"/>
      <c r="AS117" s="51"/>
      <c r="AT117" s="51"/>
      <c r="AU117" s="51"/>
      <c r="AV117" s="51"/>
      <c r="AW117" s="51"/>
      <c r="AX117" s="51"/>
      <c r="AY117" s="51"/>
      <c r="AZ117" s="51"/>
      <c r="BA117" s="51"/>
    </row>
    <row r="118" spans="1:53" ht="15.75">
      <c r="A118" s="51"/>
      <c r="B118" s="51"/>
      <c r="C118" s="51"/>
      <c r="D118" s="51"/>
      <c r="E118" s="51"/>
      <c r="F118" s="51"/>
      <c r="G118" s="51"/>
      <c r="H118" s="51"/>
      <c r="I118" s="51"/>
      <c r="J118" s="51"/>
      <c r="K118" s="51"/>
      <c r="L118" s="51"/>
      <c r="M118" s="51"/>
      <c r="N118" s="51"/>
      <c r="O118" s="51"/>
      <c r="P118" s="51"/>
      <c r="Q118" s="51"/>
      <c r="R118" s="51"/>
      <c r="S118" s="51"/>
      <c r="T118" s="51"/>
      <c r="U118" s="51"/>
      <c r="V118" s="51"/>
      <c r="W118" s="51"/>
      <c r="X118" s="51"/>
      <c r="Y118" s="51"/>
      <c r="Z118" s="51"/>
      <c r="AA118" s="51"/>
      <c r="AB118" s="51"/>
      <c r="AC118" s="51"/>
      <c r="AD118" s="51"/>
      <c r="AE118" s="51"/>
      <c r="AF118" s="51"/>
      <c r="AG118" s="51"/>
      <c r="AH118" s="51"/>
      <c r="AI118" s="51"/>
      <c r="AJ118" s="51"/>
      <c r="AK118" s="51"/>
      <c r="AL118" s="51"/>
      <c r="AM118" s="51"/>
      <c r="AN118" s="51"/>
      <c r="AO118" s="51"/>
      <c r="AP118" s="51"/>
      <c r="AQ118" s="51"/>
      <c r="AR118" s="51"/>
      <c r="AS118" s="51"/>
      <c r="AT118" s="51"/>
      <c r="AU118" s="51"/>
      <c r="AV118" s="51"/>
      <c r="AW118" s="51"/>
      <c r="AX118" s="51"/>
      <c r="AY118" s="51"/>
      <c r="AZ118" s="51"/>
      <c r="BA118" s="51"/>
    </row>
    <row r="119" spans="1:53" ht="15.75">
      <c r="A119" s="51"/>
      <c r="B119" s="51"/>
      <c r="C119" s="51"/>
      <c r="D119" s="51"/>
      <c r="E119" s="51"/>
      <c r="F119" s="51"/>
      <c r="G119" s="51"/>
      <c r="H119" s="51"/>
      <c r="I119" s="51"/>
      <c r="J119" s="51"/>
      <c r="K119" s="51"/>
      <c r="L119" s="51"/>
      <c r="M119" s="51"/>
      <c r="N119" s="51"/>
      <c r="O119" s="51"/>
      <c r="P119" s="51"/>
      <c r="Q119" s="51"/>
      <c r="R119" s="51"/>
      <c r="S119" s="51"/>
      <c r="T119" s="51"/>
      <c r="U119" s="51"/>
      <c r="V119" s="51"/>
      <c r="W119" s="51"/>
      <c r="X119" s="51"/>
      <c r="Y119" s="51"/>
      <c r="Z119" s="51"/>
      <c r="AA119" s="51"/>
      <c r="AB119" s="51"/>
      <c r="AC119" s="51"/>
      <c r="AD119" s="51"/>
      <c r="AE119" s="51"/>
      <c r="AF119" s="51"/>
      <c r="AG119" s="51"/>
      <c r="AH119" s="51"/>
      <c r="AI119" s="51"/>
      <c r="AJ119" s="51"/>
      <c r="AK119" s="51"/>
      <c r="AL119" s="51"/>
      <c r="AM119" s="51"/>
      <c r="AN119" s="51"/>
      <c r="AO119" s="51"/>
      <c r="AP119" s="51"/>
      <c r="AQ119" s="51"/>
      <c r="AR119" s="51"/>
      <c r="AS119" s="51"/>
      <c r="AT119" s="51"/>
      <c r="AU119" s="51"/>
      <c r="AV119" s="51"/>
      <c r="AW119" s="51"/>
      <c r="AX119" s="51"/>
      <c r="AY119" s="51"/>
      <c r="AZ119" s="51"/>
      <c r="BA119" s="51"/>
    </row>
    <row r="120" spans="1:53" ht="15.75">
      <c r="A120" s="51"/>
      <c r="B120" s="51"/>
      <c r="C120" s="51"/>
      <c r="D120" s="51"/>
      <c r="E120" s="51"/>
      <c r="F120" s="51"/>
      <c r="G120" s="51"/>
      <c r="H120" s="51"/>
      <c r="I120" s="51"/>
      <c r="J120" s="51"/>
      <c r="K120" s="51"/>
      <c r="L120" s="51"/>
      <c r="M120" s="51"/>
      <c r="N120" s="51"/>
      <c r="O120" s="51"/>
      <c r="P120" s="51"/>
      <c r="Q120" s="51"/>
      <c r="R120" s="51"/>
      <c r="S120" s="51"/>
      <c r="T120" s="51"/>
      <c r="U120" s="51"/>
      <c r="V120" s="51"/>
      <c r="W120" s="51"/>
      <c r="X120" s="51"/>
      <c r="Y120" s="51"/>
      <c r="Z120" s="51"/>
      <c r="AA120" s="51"/>
      <c r="AB120" s="51"/>
      <c r="AC120" s="51"/>
      <c r="AD120" s="51"/>
      <c r="AE120" s="51"/>
      <c r="AF120" s="51"/>
      <c r="AG120" s="51"/>
      <c r="AH120" s="51"/>
      <c r="AI120" s="51"/>
      <c r="AJ120" s="51"/>
      <c r="AK120" s="51"/>
      <c r="AL120" s="51"/>
      <c r="AM120" s="51"/>
      <c r="AN120" s="51"/>
      <c r="AO120" s="51"/>
      <c r="AP120" s="51"/>
      <c r="AQ120" s="51"/>
      <c r="AR120" s="51"/>
      <c r="AS120" s="51"/>
      <c r="AT120" s="51"/>
      <c r="AU120" s="51"/>
      <c r="AV120" s="51"/>
      <c r="AW120" s="51"/>
      <c r="AX120" s="51"/>
      <c r="AY120" s="51"/>
      <c r="AZ120" s="51"/>
      <c r="BA120" s="51"/>
    </row>
    <row r="121" spans="1:53" ht="15.75">
      <c r="A121" s="51"/>
      <c r="B121" s="51"/>
      <c r="C121" s="51"/>
      <c r="D121" s="51"/>
      <c r="E121" s="51"/>
      <c r="F121" s="51"/>
      <c r="G121" s="51"/>
      <c r="H121" s="51"/>
      <c r="I121" s="51"/>
      <c r="J121" s="51"/>
      <c r="K121" s="51"/>
      <c r="L121" s="51"/>
      <c r="M121" s="51"/>
      <c r="N121" s="51"/>
      <c r="O121" s="51"/>
      <c r="P121" s="51"/>
      <c r="Q121" s="51"/>
      <c r="R121" s="51"/>
      <c r="S121" s="51"/>
      <c r="T121" s="51"/>
      <c r="U121" s="51"/>
      <c r="V121" s="51"/>
      <c r="W121" s="51"/>
      <c r="X121" s="51"/>
      <c r="Y121" s="51"/>
      <c r="Z121" s="51"/>
      <c r="AA121" s="51"/>
      <c r="AB121" s="51"/>
      <c r="AC121" s="51"/>
      <c r="AD121" s="51"/>
      <c r="AE121" s="51"/>
      <c r="AF121" s="51"/>
      <c r="AG121" s="51"/>
      <c r="AH121" s="51"/>
      <c r="AI121" s="51"/>
      <c r="AJ121" s="51"/>
      <c r="AK121" s="51"/>
      <c r="AL121" s="51"/>
      <c r="AM121" s="51"/>
      <c r="AN121" s="51"/>
      <c r="AO121" s="51"/>
      <c r="AP121" s="51"/>
      <c r="AQ121" s="51"/>
      <c r="AR121" s="51"/>
      <c r="AS121" s="51"/>
      <c r="AT121" s="51"/>
      <c r="AU121" s="51"/>
      <c r="AV121" s="51"/>
      <c r="AW121" s="51"/>
      <c r="AX121" s="51"/>
      <c r="AY121" s="51"/>
      <c r="AZ121" s="51"/>
      <c r="BA121" s="51"/>
    </row>
    <row r="122" spans="1:53" ht="15.75">
      <c r="A122" s="51"/>
      <c r="B122" s="51"/>
      <c r="C122" s="51"/>
      <c r="D122" s="51"/>
      <c r="E122" s="51"/>
      <c r="F122" s="51"/>
      <c r="G122" s="51"/>
      <c r="H122" s="51"/>
      <c r="I122" s="51"/>
      <c r="J122" s="51"/>
      <c r="K122" s="51"/>
      <c r="L122" s="51"/>
      <c r="M122" s="51"/>
      <c r="N122" s="51"/>
      <c r="O122" s="51"/>
      <c r="P122" s="51"/>
      <c r="Q122" s="51"/>
      <c r="R122" s="51"/>
      <c r="S122" s="51"/>
      <c r="T122" s="51"/>
      <c r="U122" s="51"/>
      <c r="V122" s="51"/>
      <c r="W122" s="51"/>
      <c r="X122" s="51"/>
      <c r="Y122" s="51"/>
      <c r="Z122" s="51"/>
      <c r="AA122" s="51"/>
      <c r="AB122" s="51"/>
      <c r="AC122" s="51"/>
      <c r="AD122" s="51"/>
      <c r="AE122" s="51"/>
      <c r="AF122" s="51"/>
      <c r="AG122" s="51"/>
      <c r="AH122" s="51"/>
      <c r="AI122" s="51"/>
      <c r="AJ122" s="51"/>
      <c r="AK122" s="51"/>
      <c r="AL122" s="51"/>
      <c r="AM122" s="51"/>
      <c r="AN122" s="51"/>
      <c r="AO122" s="51"/>
      <c r="AP122" s="51"/>
      <c r="AQ122" s="51"/>
      <c r="AR122" s="51"/>
      <c r="AS122" s="51"/>
      <c r="AT122" s="51"/>
      <c r="AU122" s="51"/>
      <c r="AV122" s="51"/>
      <c r="AW122" s="51"/>
      <c r="AX122" s="51"/>
      <c r="AY122" s="51"/>
      <c r="AZ122" s="51"/>
      <c r="BA122" s="51"/>
    </row>
  </sheetData>
  <phoneticPr fontId="8" type="noConversion"/>
  <dataValidations count="14">
    <dataValidation type="list" allowBlank="1" showInputMessage="1" sqref="AA19">
      <formula1>'[1]6735_coolers'!A2:A134</formula1>
    </dataValidation>
    <dataValidation type="list" allowBlank="1" showInputMessage="1" sqref="AE61 AE47 AE40 AE33 AE26 AE19 AE12 AE68 AA12 AU5 C5 C33 C47 C54 C61 C68 AI5 G5 G19 G26 G33 G40 G47 G54 G61 G68 AY19 AI47 AY26 K19 K33 K40 K47 K54 K61 K68 O12 O5 O19 O26 O33 O40 O47 O54 O61 O68 S12 S5 S19 S26 S33 S40 S47 S54 S61 S68 W12 W5 W19 W26 W33 W40 W47 W54 W61 W68 C40 AY47 G12 AA68 AA61 AA54 AA47 AA33 C19 AY12 AY68 C26 AY40 AI61 AI54 AI40 AI33 K12 AY33 AA40 AE54 AI68 AM5 AM61 AM54 AM47 AM40 AM33 AM26 AM19 AM12 AM68 K5 AQ61 AQ54 AQ47 AQ40 AQ33 AQ26 AQ19 AQ12 AQ68 AA26 AU61 AU54 AU47 AU40 AU33 AU26 AU19 AU12 AU68 AQ5 AY61 AY54 AI26 AI19 AI12 AY5 K26">
      <formula1>'6755_coolers'!A2:A137</formula1>
    </dataValidation>
    <dataValidation type="list" allowBlank="1" showInputMessage="1" showErrorMessage="1" sqref="AI1 C1 G1 AY1 O1 S1 W1 AA1 K1 AM1 AQ1 AU1">
      <formula1>'6755_tz'!A2:A97</formula1>
    </dataValidation>
    <dataValidation type="decimal" allowBlank="1" showInputMessage="1" showErrorMessage="1" errorTitle="Invalid" error="Must between [-1, 65535]" promptTitle="Range" prompt="between [-1, 65535]" sqref="L79:L81">
      <formula1>-1</formula1>
      <formula2>65535</formula2>
    </dataValidation>
    <dataValidation type="decimal" allowBlank="1" showInputMessage="1" showErrorMessage="1" errorTitle="Invalid" error="Must be 0 or 1" promptTitle="kernel log" prompt="0, off (default)_x000a_1, on" sqref="L78 AJ78">
      <formula1>0</formula1>
      <formula2>1</formula2>
    </dataValidation>
    <dataValidation type="decimal" allowBlank="1" showInputMessage="1" showErrorMessage="1" errorTitle="Invalid" error="Must between [-1, 65535]" promptTitle="Range" prompt="0 or between [100, 25500]" sqref="AN79:AN80 AR79:AR80 AV79:AV80 AJ79:AJ86">
      <formula1>0</formula1>
      <formula2>25500</formula2>
    </dataValidation>
    <dataValidation type="decimal" allowBlank="1" showInputMessage="1" showErrorMessage="1" errorTitle="Invalid" error="Must be 0 or 1" promptTitle="kernel log" prompt="[1, max step]" sqref="AN78 AR78 AV78">
      <formula1>1</formula1>
      <formula2>5</formula2>
    </dataValidation>
    <dataValidation type="list" allowBlank="1" showInputMessage="1" showErrorMessage="1" sqref="T77 D1 H1 T1 X1 P1 L1 X77 AB1 AN1 AR1 H77 AJ77 AZ77 L77 AB77 P77 D77 AV1 AZ1 AV77 AF77 AJ1 AN77 AR77 AF1">
      <formula1>"ENABLE,DISABLE"</formula1>
    </dataValidation>
    <dataValidation type="list" allowBlank="1" showInputMessage="1" showErrorMessage="1" sqref="K13:K15 AY20:AY22 AE55:AE57 AE48:AE50 AE41:AE43 AE34:AE36 AE27:AE29 AE20:AE22 AE69:AE71 AE13:AE15 AE62:AE64 AA13:AA15 AI6:AI8 O13:O15 O69:O71 O20:O22 O27:O29 O34:O36 O41:O43 O6:O8 O48:O50 O55:O57 O62:O64 C69:C71 C34:C36 C6:C8 C48:C50 C55:C57 C62:C64 S13:S15 S69:S71 S20:S22 S27:S29 S34:S36 S41:S43 S6:S8 S48:S50 S55:S57 S62:S64 AA41:AA43 G69:G71 G20:G22 K69:K71 G27:G29 G34:G36 G41:G43 K20:K22 K34:K36 G6:G8 G48:G50 G55:G57 K41:K43 AY6:AY8 G62:G64 K48:K50 K55:K57 K62:K64 W13:W15 W69:W71 W20:W22 W27:W29 W34:W36 W41:W43 W6:W8 W48:W50 W55:W57 W62:W64 C27:C29 AU6:AU8 AM6:AM8 G13:G15 AA55:AA57 AA48:AA50 AA6:AA8 AA27:AA29 C20:C22 AY62:AY64 AA69:AA71 AY69:AY71 AA62:AA64 AI55:AI57 AI41:AI43 AI34:AI36 AI27:AI29 AY13:AY15 AI48:AI50 AI69:AI71 C41:C43 AI62:AI64 AE6:AE8 AM55:AM57 AM48:AM50 AM41:AM43 AM34:AM36 AM27:AM29 AM20:AM22 AM69:AM71 AM13:AM15 AM62:AM64 K6:K8 AQ55:AQ57 AQ48:AQ50 AQ41:AQ43 AQ34:AQ36 AQ27:AQ29 AQ20:AQ22 AQ69:AQ71 AQ13:AQ15 AQ62:AQ64 K27:K29 AU55:AU57 AU48:AU50 AU41:AU43 AU34:AU36 AU27:AU29 AU20:AU22 AU69:AU71 AU13:AU15 AU62:AU64 AQ6:AQ8 AY55:AY57 AY48:AY50 AY41:AY43 AY34:AY36 AY27:AY29 AI13:AI15 AI20:AI22 AA34:AA36">
      <formula1>"NULL, CPU0 loading(%), Wifi usage(Kb/s), &lt; Mobile usage(Kb/s), EXIT, mtktscpu, mtktsabb, mtktspmic, mtktsbattery, mtktspa, mtktswmt, mtktsAP, mtktsbuck, mtktsbattery2, mtktsxtal"</formula1>
    </dataValidation>
    <dataValidation type="list" allowBlank="1" showInputMessage="1" showErrorMessage="1" sqref="AE1">
      <formula1>'[2]6755_tz'!A2:A97</formula1>
    </dataValidation>
    <dataValidation type="list" allowBlank="1" showInputMessage="1" sqref="AE5">
      <formula1>'[2]6755_coolers'!A2:A134</formula1>
    </dataValidation>
    <dataValidation type="list" allowBlank="1" showInputMessage="1" sqref="AA5">
      <formula1>'[3]6755_coolers'!A2:A134</formula1>
    </dataValidation>
    <dataValidation type="list" allowBlank="1" showInputMessage="1" showErrorMessage="1" sqref="C13:C15 AA20:AA22">
      <formula1>"NULL, CPU0 loading(%), Wifi usage(Kb/s), EXIT, mtktscpu, mtktsabb, mtktspmic, mtktsbattery, mtktspa, mtktswmt, mtktsAP, mtktsbuck, mtktsbattery2, mtktsxtal"</formula1>
    </dataValidation>
    <dataValidation type="list" allowBlank="1" showInputMessage="1" sqref="C12">
      <formula1>'[4]6755_coolers'!A2:A134</formula1>
    </dataValidation>
  </dataValidations>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sheetPr codeName="Sheet86">
    <tabColor rgb="FFFF0000"/>
  </sheetPr>
  <dimension ref="A1:BA122"/>
  <sheetViews>
    <sheetView zoomScale="90" zoomScaleNormal="90" workbookViewId="0">
      <selection activeCell="K1" sqref="K1:L29"/>
    </sheetView>
  </sheetViews>
  <sheetFormatPr defaultRowHeight="14.2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9.140625" style="7"/>
    <col min="54" max="16384" width="9.140625" style="1"/>
  </cols>
  <sheetData>
    <row r="1" spans="1:53" ht="57.75" customHeight="1">
      <c r="A1" s="1" t="s">
        <v>182</v>
      </c>
      <c r="B1" s="2" t="s">
        <v>35</v>
      </c>
      <c r="C1" s="3" t="s">
        <v>23</v>
      </c>
      <c r="D1" s="4" t="s">
        <v>36</v>
      </c>
      <c r="E1" s="5"/>
      <c r="F1" s="2" t="s">
        <v>35</v>
      </c>
      <c r="G1" s="3" t="s">
        <v>24</v>
      </c>
      <c r="H1" s="4" t="s">
        <v>36</v>
      </c>
      <c r="I1" s="5"/>
      <c r="J1" s="2" t="s">
        <v>35</v>
      </c>
      <c r="K1" s="3" t="s">
        <v>25</v>
      </c>
      <c r="L1" s="4" t="s">
        <v>37</v>
      </c>
      <c r="M1" s="6"/>
      <c r="N1" s="2" t="s">
        <v>35</v>
      </c>
      <c r="O1" s="3" t="s">
        <v>26</v>
      </c>
      <c r="P1" s="4" t="s">
        <v>36</v>
      </c>
      <c r="Q1" s="6"/>
      <c r="R1" s="2" t="s">
        <v>35</v>
      </c>
      <c r="S1" s="3" t="s">
        <v>34</v>
      </c>
      <c r="T1" s="4" t="s">
        <v>36</v>
      </c>
      <c r="U1" s="6"/>
      <c r="V1" s="2" t="s">
        <v>35</v>
      </c>
      <c r="W1" s="3" t="s">
        <v>27</v>
      </c>
      <c r="X1" s="4" t="s">
        <v>36</v>
      </c>
      <c r="Y1" s="6"/>
      <c r="Z1" s="2" t="s">
        <v>35</v>
      </c>
      <c r="AA1" s="3" t="s">
        <v>68</v>
      </c>
      <c r="AB1" s="4" t="s">
        <v>36</v>
      </c>
      <c r="AC1" s="6"/>
      <c r="AD1" s="2" t="s">
        <v>35</v>
      </c>
      <c r="AE1" s="3" t="s">
        <v>69</v>
      </c>
      <c r="AF1" s="4" t="s">
        <v>36</v>
      </c>
      <c r="AG1" s="6"/>
      <c r="AH1" s="2" t="s">
        <v>35</v>
      </c>
      <c r="AI1" s="3" t="s">
        <v>132</v>
      </c>
      <c r="AJ1" s="4" t="s">
        <v>36</v>
      </c>
      <c r="AK1" s="6"/>
      <c r="AL1" s="2" t="s">
        <v>35</v>
      </c>
      <c r="AM1" s="3" t="s">
        <v>128</v>
      </c>
      <c r="AN1" s="4" t="s">
        <v>36</v>
      </c>
      <c r="AO1" s="6"/>
      <c r="AP1" s="2" t="s">
        <v>35</v>
      </c>
      <c r="AQ1" s="3" t="s">
        <v>233</v>
      </c>
      <c r="AR1" s="4" t="s">
        <v>36</v>
      </c>
      <c r="AS1" s="6"/>
      <c r="AT1" s="2" t="s">
        <v>35</v>
      </c>
      <c r="AU1" s="3" t="s">
        <v>234</v>
      </c>
      <c r="AV1" s="4" t="s">
        <v>36</v>
      </c>
      <c r="AW1" s="6"/>
      <c r="AX1" s="2" t="s">
        <v>35</v>
      </c>
      <c r="AY1" s="3" t="s">
        <v>129</v>
      </c>
      <c r="AZ1" s="4" t="s">
        <v>36</v>
      </c>
      <c r="BA1" s="51"/>
    </row>
    <row r="2" spans="1:53" ht="30.75" customHeight="1">
      <c r="B2" s="2" t="s">
        <v>9</v>
      </c>
      <c r="C2" s="3">
        <v>2</v>
      </c>
      <c r="D2" s="8"/>
      <c r="E2" s="9"/>
      <c r="F2" s="2" t="s">
        <v>9</v>
      </c>
      <c r="G2" s="3">
        <v>1</v>
      </c>
      <c r="H2" s="8"/>
      <c r="I2" s="10"/>
      <c r="J2" s="2" t="s">
        <v>9</v>
      </c>
      <c r="K2" s="57">
        <v>1</v>
      </c>
      <c r="L2" s="8"/>
      <c r="M2" s="10"/>
      <c r="N2" s="2" t="s">
        <v>9</v>
      </c>
      <c r="O2" s="3">
        <v>1</v>
      </c>
      <c r="P2" s="8"/>
      <c r="Q2" s="10"/>
      <c r="R2" s="2" t="s">
        <v>9</v>
      </c>
      <c r="S2" s="3">
        <v>1</v>
      </c>
      <c r="T2" s="8"/>
      <c r="U2" s="10"/>
      <c r="V2" s="2" t="s">
        <v>9</v>
      </c>
      <c r="W2" s="3">
        <v>1</v>
      </c>
      <c r="X2" s="8"/>
      <c r="Y2" s="10"/>
      <c r="Z2" s="2" t="s">
        <v>9</v>
      </c>
      <c r="AA2" s="3">
        <v>6</v>
      </c>
      <c r="AB2" s="8"/>
      <c r="AC2" s="10"/>
      <c r="AD2" s="2" t="s">
        <v>9</v>
      </c>
      <c r="AE2" s="3">
        <v>1</v>
      </c>
      <c r="AF2" s="8"/>
      <c r="AG2" s="10"/>
      <c r="AH2" s="2" t="s">
        <v>9</v>
      </c>
      <c r="AI2" s="3">
        <v>1</v>
      </c>
      <c r="AJ2" s="46"/>
      <c r="AK2" s="10"/>
      <c r="AL2" s="2" t="s">
        <v>9</v>
      </c>
      <c r="AM2" s="3">
        <v>0</v>
      </c>
      <c r="AN2" s="8"/>
      <c r="AO2" s="10"/>
      <c r="AP2" s="2" t="s">
        <v>9</v>
      </c>
      <c r="AQ2" s="3">
        <v>0</v>
      </c>
      <c r="AR2" s="8"/>
      <c r="AS2" s="10"/>
      <c r="AT2" s="2" t="s">
        <v>9</v>
      </c>
      <c r="AU2" s="3">
        <v>0</v>
      </c>
      <c r="AV2" s="8"/>
      <c r="AW2" s="10"/>
      <c r="AX2" s="2" t="s">
        <v>9</v>
      </c>
      <c r="AY2" s="3">
        <v>0</v>
      </c>
      <c r="AZ2" s="8"/>
      <c r="BA2" s="51"/>
    </row>
    <row r="3" spans="1:53" ht="15" customHeight="1">
      <c r="A3" s="11"/>
      <c r="B3" s="12" t="s">
        <v>7</v>
      </c>
      <c r="C3" s="13">
        <v>117000</v>
      </c>
      <c r="D3" s="14"/>
      <c r="E3" s="9"/>
      <c r="F3" s="12" t="s">
        <v>7</v>
      </c>
      <c r="G3" s="13">
        <v>145000</v>
      </c>
      <c r="H3" s="14"/>
      <c r="I3" s="10"/>
      <c r="J3" s="12" t="s">
        <v>7</v>
      </c>
      <c r="K3" s="13">
        <v>60000</v>
      </c>
      <c r="L3" s="14"/>
      <c r="M3" s="10"/>
      <c r="N3" s="12" t="s">
        <v>7</v>
      </c>
      <c r="O3" s="13">
        <v>120000</v>
      </c>
      <c r="P3" s="14"/>
      <c r="Q3" s="10"/>
      <c r="R3" s="12" t="s">
        <v>7</v>
      </c>
      <c r="S3" s="13">
        <v>117000</v>
      </c>
      <c r="T3" s="14"/>
      <c r="U3" s="10"/>
      <c r="V3" s="12" t="s">
        <v>7</v>
      </c>
      <c r="W3" s="13">
        <v>120000</v>
      </c>
      <c r="X3" s="14"/>
      <c r="Y3" s="10"/>
      <c r="Z3" s="12" t="s">
        <v>7</v>
      </c>
      <c r="AA3" s="13">
        <v>100000</v>
      </c>
      <c r="AB3" s="14"/>
      <c r="AC3" s="10"/>
      <c r="AD3" s="12" t="s">
        <v>7</v>
      </c>
      <c r="AE3" s="13">
        <v>120000</v>
      </c>
      <c r="AF3" s="14"/>
      <c r="AG3" s="10"/>
      <c r="AH3" s="12" t="s">
        <v>7</v>
      </c>
      <c r="AI3" s="13">
        <v>120000</v>
      </c>
      <c r="AJ3" s="43"/>
      <c r="AK3" s="10"/>
      <c r="AL3" s="12" t="s">
        <v>7</v>
      </c>
      <c r="AM3" s="13">
        <v>0</v>
      </c>
      <c r="AN3" s="14"/>
      <c r="AO3" s="10"/>
      <c r="AP3" s="12" t="s">
        <v>7</v>
      </c>
      <c r="AQ3" s="13">
        <v>0</v>
      </c>
      <c r="AR3" s="14"/>
      <c r="AS3" s="10"/>
      <c r="AT3" s="12" t="s">
        <v>7</v>
      </c>
      <c r="AU3" s="13">
        <v>0</v>
      </c>
      <c r="AV3" s="14"/>
      <c r="AW3" s="10"/>
      <c r="AX3" s="12" t="s">
        <v>7</v>
      </c>
      <c r="AY3" s="13">
        <v>0</v>
      </c>
      <c r="AZ3" s="14"/>
      <c r="BA3" s="51"/>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15">
        <v>0</v>
      </c>
      <c r="AJ4" s="43"/>
      <c r="AK4" s="10"/>
      <c r="AL4" s="12" t="s">
        <v>6</v>
      </c>
      <c r="AM4" s="15">
        <v>0</v>
      </c>
      <c r="AN4" s="14"/>
      <c r="AO4" s="10"/>
      <c r="AP4" s="12" t="s">
        <v>6</v>
      </c>
      <c r="AQ4" s="15">
        <v>0</v>
      </c>
      <c r="AR4" s="14"/>
      <c r="AS4" s="10"/>
      <c r="AT4" s="12" t="s">
        <v>6</v>
      </c>
      <c r="AU4" s="15">
        <v>0</v>
      </c>
      <c r="AV4" s="14"/>
      <c r="AW4" s="10"/>
      <c r="AX4" s="12" t="s">
        <v>6</v>
      </c>
      <c r="AY4" s="15">
        <v>0</v>
      </c>
      <c r="AZ4" s="14"/>
      <c r="BA4" s="51"/>
    </row>
    <row r="5" spans="1:53" ht="15" customHeight="1">
      <c r="A5" s="11"/>
      <c r="B5" s="12" t="s">
        <v>5</v>
      </c>
      <c r="C5" s="13" t="s">
        <v>15</v>
      </c>
      <c r="D5" s="14"/>
      <c r="E5" s="9"/>
      <c r="F5" s="12" t="s">
        <v>5</v>
      </c>
      <c r="G5" s="13" t="s">
        <v>1</v>
      </c>
      <c r="H5" s="14"/>
      <c r="I5" s="10"/>
      <c r="J5" s="12" t="s">
        <v>5</v>
      </c>
      <c r="K5" s="13" t="s">
        <v>2</v>
      </c>
      <c r="L5" s="14"/>
      <c r="M5" s="10"/>
      <c r="N5" s="12" t="s">
        <v>5</v>
      </c>
      <c r="O5" s="13" t="s">
        <v>3</v>
      </c>
      <c r="P5" s="14"/>
      <c r="Q5" s="10"/>
      <c r="R5" s="12" t="s">
        <v>5</v>
      </c>
      <c r="S5" s="13" t="s">
        <v>0</v>
      </c>
      <c r="T5" s="14"/>
      <c r="U5" s="10"/>
      <c r="V5" s="12" t="s">
        <v>5</v>
      </c>
      <c r="W5" s="13" t="s">
        <v>16</v>
      </c>
      <c r="X5" s="14"/>
      <c r="Y5" s="10"/>
      <c r="Z5" s="12" t="s">
        <v>5</v>
      </c>
      <c r="AA5" s="13" t="s">
        <v>17</v>
      </c>
      <c r="AB5" s="14"/>
      <c r="AC5" s="10"/>
      <c r="AD5" s="12" t="s">
        <v>5</v>
      </c>
      <c r="AE5" s="13" t="s">
        <v>108</v>
      </c>
      <c r="AF5" s="14"/>
      <c r="AG5" s="10"/>
      <c r="AH5" s="12" t="s">
        <v>5</v>
      </c>
      <c r="AI5" s="13" t="s">
        <v>108</v>
      </c>
      <c r="AJ5" s="43"/>
      <c r="AK5" s="10"/>
      <c r="AL5" s="12" t="s">
        <v>5</v>
      </c>
      <c r="AM5" s="13" t="s">
        <v>4</v>
      </c>
      <c r="AN5" s="14"/>
      <c r="AO5" s="10"/>
      <c r="AP5" s="12" t="s">
        <v>5</v>
      </c>
      <c r="AQ5" s="13" t="s">
        <v>4</v>
      </c>
      <c r="AR5" s="14"/>
      <c r="AS5" s="10"/>
      <c r="AT5" s="12" t="s">
        <v>5</v>
      </c>
      <c r="AU5" s="13" t="s">
        <v>4</v>
      </c>
      <c r="AV5" s="14"/>
      <c r="AW5" s="10"/>
      <c r="AX5" s="12" t="s">
        <v>5</v>
      </c>
      <c r="AY5" s="13" t="s">
        <v>4</v>
      </c>
      <c r="AZ5" s="14"/>
      <c r="BA5" s="51"/>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4">
        <v>0</v>
      </c>
      <c r="AG6" s="10"/>
      <c r="AH6" s="12" t="s">
        <v>11</v>
      </c>
      <c r="AI6" s="15" t="s">
        <v>13</v>
      </c>
      <c r="AJ6" s="15">
        <v>0</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s="51"/>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s="51"/>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s="51"/>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s="51"/>
    </row>
    <row r="10" spans="1:53" ht="15" customHeight="1">
      <c r="A10" s="11"/>
      <c r="B10" s="12" t="s">
        <v>7</v>
      </c>
      <c r="C10" s="44">
        <v>67000</v>
      </c>
      <c r="D10" s="14"/>
      <c r="E10" s="10"/>
      <c r="F10" s="12" t="s">
        <v>7</v>
      </c>
      <c r="G10" s="13">
        <v>0</v>
      </c>
      <c r="H10" s="14"/>
      <c r="I10" s="10"/>
      <c r="J10" s="12" t="s">
        <v>7</v>
      </c>
      <c r="K10" s="13">
        <v>0</v>
      </c>
      <c r="L10" s="14"/>
      <c r="M10" s="10"/>
      <c r="N10" s="12" t="s">
        <v>7</v>
      </c>
      <c r="O10" s="13">
        <v>0</v>
      </c>
      <c r="P10" s="14"/>
      <c r="Q10" s="10"/>
      <c r="R10" s="12" t="s">
        <v>7</v>
      </c>
      <c r="S10" s="13">
        <v>0</v>
      </c>
      <c r="T10" s="14"/>
      <c r="U10" s="10"/>
      <c r="V10" s="12" t="s">
        <v>7</v>
      </c>
      <c r="W10" s="13">
        <v>0</v>
      </c>
      <c r="X10" s="14"/>
      <c r="Y10" s="10"/>
      <c r="Z10" s="12" t="s">
        <v>7</v>
      </c>
      <c r="AA10" s="50">
        <v>90000</v>
      </c>
      <c r="AB10" s="14"/>
      <c r="AC10" s="10"/>
      <c r="AD10" s="12" t="s">
        <v>7</v>
      </c>
      <c r="AE10" s="13">
        <v>0</v>
      </c>
      <c r="AF10" s="14"/>
      <c r="AG10" s="10"/>
      <c r="AH10" s="12" t="s">
        <v>7</v>
      </c>
      <c r="AI10" s="13">
        <v>0</v>
      </c>
      <c r="AJ10" s="14"/>
      <c r="AK10" s="10"/>
      <c r="AL10" s="12" t="s">
        <v>7</v>
      </c>
      <c r="AM10" s="13">
        <v>0</v>
      </c>
      <c r="AN10" s="14"/>
      <c r="AO10" s="10"/>
      <c r="AP10" s="12" t="s">
        <v>7</v>
      </c>
      <c r="AQ10" s="13">
        <v>0</v>
      </c>
      <c r="AR10" s="14"/>
      <c r="AS10" s="10"/>
      <c r="AT10" s="12" t="s">
        <v>7</v>
      </c>
      <c r="AU10" s="13">
        <v>0</v>
      </c>
      <c r="AV10" s="14"/>
      <c r="AW10" s="10"/>
      <c r="AX10" s="12" t="s">
        <v>7</v>
      </c>
      <c r="AY10" s="13">
        <v>0</v>
      </c>
      <c r="AZ10" s="14"/>
      <c r="BA10" s="51"/>
    </row>
    <row r="11" spans="1:53" ht="15" customHeight="1">
      <c r="A11" s="11"/>
      <c r="B11" s="12" t="s">
        <v>6</v>
      </c>
      <c r="C11" s="15">
        <v>0</v>
      </c>
      <c r="D11" s="14"/>
      <c r="E11" s="10"/>
      <c r="F11" s="12" t="s">
        <v>6</v>
      </c>
      <c r="G11" s="15">
        <v>0</v>
      </c>
      <c r="H11" s="14"/>
      <c r="I11" s="10"/>
      <c r="J11" s="12" t="s">
        <v>6</v>
      </c>
      <c r="K11" s="15">
        <v>0</v>
      </c>
      <c r="L11" s="14"/>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15">
        <v>0</v>
      </c>
      <c r="AJ11" s="14"/>
      <c r="AK11" s="10"/>
      <c r="AL11" s="12" t="s">
        <v>6</v>
      </c>
      <c r="AM11" s="15">
        <v>0</v>
      </c>
      <c r="AN11" s="14"/>
      <c r="AO11" s="10"/>
      <c r="AP11" s="12" t="s">
        <v>6</v>
      </c>
      <c r="AQ11" s="15">
        <v>0</v>
      </c>
      <c r="AR11" s="14"/>
      <c r="AS11" s="10"/>
      <c r="AT11" s="12" t="s">
        <v>6</v>
      </c>
      <c r="AU11" s="15">
        <v>0</v>
      </c>
      <c r="AV11" s="14"/>
      <c r="AW11" s="10"/>
      <c r="AX11" s="12" t="s">
        <v>6</v>
      </c>
      <c r="AY11" s="15">
        <v>0</v>
      </c>
      <c r="AZ11" s="14"/>
      <c r="BA11" s="51"/>
    </row>
    <row r="12" spans="1:53" ht="15" customHeight="1">
      <c r="A12" s="11"/>
      <c r="B12" s="12" t="s">
        <v>5</v>
      </c>
      <c r="C12" s="13" t="s">
        <v>51</v>
      </c>
      <c r="D12" s="14"/>
      <c r="E12" s="10"/>
      <c r="F12" s="12" t="s">
        <v>5</v>
      </c>
      <c r="G12" s="13" t="s">
        <v>4</v>
      </c>
      <c r="H12" s="14"/>
      <c r="I12" s="10"/>
      <c r="J12" s="12" t="s">
        <v>5</v>
      </c>
      <c r="K12" s="13" t="s">
        <v>4</v>
      </c>
      <c r="L12" s="14"/>
      <c r="M12" s="10"/>
      <c r="N12" s="12" t="s">
        <v>5</v>
      </c>
      <c r="O12" s="13" t="s">
        <v>4</v>
      </c>
      <c r="P12" s="14"/>
      <c r="Q12" s="10"/>
      <c r="R12" s="12" t="s">
        <v>5</v>
      </c>
      <c r="S12" s="13" t="s">
        <v>4</v>
      </c>
      <c r="T12" s="14"/>
      <c r="U12" s="10"/>
      <c r="V12" s="12" t="s">
        <v>5</v>
      </c>
      <c r="W12" s="13" t="s">
        <v>4</v>
      </c>
      <c r="X12" s="14"/>
      <c r="Y12" s="10"/>
      <c r="Z12" s="12" t="s">
        <v>5</v>
      </c>
      <c r="AA12" s="50" t="s">
        <v>107</v>
      </c>
      <c r="AB12" s="14"/>
      <c r="AC12" s="10"/>
      <c r="AD12" s="12" t="s">
        <v>5</v>
      </c>
      <c r="AE12" s="13" t="s">
        <v>4</v>
      </c>
      <c r="AF12" s="14"/>
      <c r="AG12" s="10"/>
      <c r="AH12" s="12" t="s">
        <v>5</v>
      </c>
      <c r="AI12" s="13" t="s">
        <v>4</v>
      </c>
      <c r="AJ12" s="14"/>
      <c r="AK12" s="10"/>
      <c r="AL12" s="12" t="s">
        <v>5</v>
      </c>
      <c r="AM12" s="13" t="s">
        <v>4</v>
      </c>
      <c r="AN12" s="14"/>
      <c r="AO12" s="10"/>
      <c r="AP12" s="12" t="s">
        <v>5</v>
      </c>
      <c r="AQ12" s="13" t="s">
        <v>4</v>
      </c>
      <c r="AR12" s="14"/>
      <c r="AS12" s="10"/>
      <c r="AT12" s="12" t="s">
        <v>5</v>
      </c>
      <c r="AU12" s="13" t="s">
        <v>4</v>
      </c>
      <c r="AV12" s="14"/>
      <c r="AW12" s="10"/>
      <c r="AX12" s="12" t="s">
        <v>5</v>
      </c>
      <c r="AY12" s="13" t="s">
        <v>4</v>
      </c>
      <c r="AZ12" s="14"/>
      <c r="BA12" s="51"/>
    </row>
    <row r="13" spans="1:53" ht="15" customHeight="1">
      <c r="A13" s="11"/>
      <c r="B13" s="12" t="s">
        <v>11</v>
      </c>
      <c r="C13" s="15" t="s">
        <v>131</v>
      </c>
      <c r="D13" s="14">
        <v>6000</v>
      </c>
      <c r="E13" s="9"/>
      <c r="F13" s="12" t="s">
        <v>11</v>
      </c>
      <c r="G13" s="15" t="s">
        <v>13</v>
      </c>
      <c r="H13" s="14">
        <v>0</v>
      </c>
      <c r="I13" s="10"/>
      <c r="J13" s="12" t="s">
        <v>11</v>
      </c>
      <c r="K13" s="15" t="s">
        <v>13</v>
      </c>
      <c r="L13" s="14">
        <v>0</v>
      </c>
      <c r="M13" s="10"/>
      <c r="N13" s="12" t="s">
        <v>11</v>
      </c>
      <c r="O13" s="15" t="s">
        <v>13</v>
      </c>
      <c r="P13" s="14">
        <v>0</v>
      </c>
      <c r="Q13" s="10"/>
      <c r="R13" s="12" t="s">
        <v>11</v>
      </c>
      <c r="S13" s="15" t="s">
        <v>13</v>
      </c>
      <c r="T13" s="14">
        <v>0</v>
      </c>
      <c r="U13" s="10"/>
      <c r="V13" s="12" t="s">
        <v>11</v>
      </c>
      <c r="W13" s="15" t="s">
        <v>13</v>
      </c>
      <c r="X13" s="14">
        <v>0</v>
      </c>
      <c r="Y13" s="10"/>
      <c r="Z13" s="12" t="s">
        <v>11</v>
      </c>
      <c r="AA13" s="15" t="s">
        <v>13</v>
      </c>
      <c r="AB13" s="14">
        <v>0</v>
      </c>
      <c r="AC13" s="10"/>
      <c r="AD13" s="12" t="s">
        <v>11</v>
      </c>
      <c r="AE13" s="15" t="s">
        <v>13</v>
      </c>
      <c r="AF13" s="14">
        <v>0</v>
      </c>
      <c r="AG13" s="10"/>
      <c r="AH13" s="12" t="s">
        <v>11</v>
      </c>
      <c r="AI13" s="15" t="s">
        <v>13</v>
      </c>
      <c r="AJ13" s="14">
        <v>0</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s="51"/>
    </row>
    <row r="14" spans="1:53" ht="15" customHeight="1">
      <c r="A14" s="11"/>
      <c r="B14" s="12" t="s">
        <v>12</v>
      </c>
      <c r="C14" s="15" t="s">
        <v>13</v>
      </c>
      <c r="D14" s="14">
        <v>0</v>
      </c>
      <c r="E14" s="9"/>
      <c r="F14" s="12" t="s">
        <v>12</v>
      </c>
      <c r="G14" s="15" t="s">
        <v>13</v>
      </c>
      <c r="H14" s="14">
        <v>0</v>
      </c>
      <c r="I14" s="10"/>
      <c r="J14" s="12" t="s">
        <v>12</v>
      </c>
      <c r="K14" s="15" t="s">
        <v>13</v>
      </c>
      <c r="L14" s="14">
        <v>0</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4">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s="51"/>
    </row>
    <row r="15" spans="1:53" ht="15" customHeight="1">
      <c r="A15" s="11"/>
      <c r="B15" s="12" t="s">
        <v>14</v>
      </c>
      <c r="C15" s="15" t="s">
        <v>13</v>
      </c>
      <c r="D15" s="14">
        <v>0</v>
      </c>
      <c r="E15" s="9"/>
      <c r="F15" s="12" t="s">
        <v>14</v>
      </c>
      <c r="G15" s="15" t="s">
        <v>13</v>
      </c>
      <c r="H15" s="14">
        <v>0</v>
      </c>
      <c r="I15" s="10"/>
      <c r="J15" s="12" t="s">
        <v>14</v>
      </c>
      <c r="K15" s="15" t="s">
        <v>13</v>
      </c>
      <c r="L15" s="14">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s="51"/>
    </row>
    <row r="16" spans="1:53" s="20" customFormat="1" ht="5.0999999999999996" customHeight="1">
      <c r="A16" s="17"/>
      <c r="B16" s="18"/>
      <c r="C16" s="18"/>
      <c r="D16" s="18"/>
      <c r="E16" s="19"/>
      <c r="F16" s="18"/>
      <c r="G16" s="18"/>
      <c r="H16" s="18"/>
      <c r="I16" s="19"/>
      <c r="J16" s="18"/>
      <c r="K16" s="56"/>
      <c r="L16" s="56"/>
      <c r="M16" s="19"/>
      <c r="N16" s="18"/>
      <c r="O16" s="18"/>
      <c r="P16" s="18"/>
      <c r="Q16" s="19"/>
      <c r="R16" s="18"/>
      <c r="S16" s="18"/>
      <c r="T16" s="18"/>
      <c r="U16" s="19"/>
      <c r="V16" s="18"/>
      <c r="W16" s="18"/>
      <c r="X16" s="18"/>
      <c r="Y16" s="19"/>
      <c r="Z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s="51"/>
    </row>
    <row r="17" spans="1:53" ht="15" customHeight="1">
      <c r="A17" s="11"/>
      <c r="B17" s="12" t="s">
        <v>7</v>
      </c>
      <c r="C17" s="13">
        <v>0</v>
      </c>
      <c r="D17" s="14"/>
      <c r="E17" s="10"/>
      <c r="F17" s="12" t="s">
        <v>7</v>
      </c>
      <c r="G17" s="13">
        <v>0</v>
      </c>
      <c r="H17" s="14"/>
      <c r="I17" s="10"/>
      <c r="J17" s="12" t="s">
        <v>7</v>
      </c>
      <c r="K17" s="13">
        <v>0</v>
      </c>
      <c r="L17" s="14"/>
      <c r="M17" s="10"/>
      <c r="N17" s="12" t="s">
        <v>7</v>
      </c>
      <c r="O17" s="13">
        <v>0</v>
      </c>
      <c r="P17" s="14"/>
      <c r="Q17" s="10"/>
      <c r="R17" s="12" t="s">
        <v>7</v>
      </c>
      <c r="S17" s="13">
        <v>0</v>
      </c>
      <c r="T17" s="14"/>
      <c r="U17" s="10"/>
      <c r="V17" s="12" t="s">
        <v>7</v>
      </c>
      <c r="W17" s="13">
        <v>0</v>
      </c>
      <c r="X17" s="14"/>
      <c r="Y17" s="10"/>
      <c r="Z17" s="12" t="s">
        <v>7</v>
      </c>
      <c r="AA17" s="58">
        <v>57000</v>
      </c>
      <c r="AB17" s="14"/>
      <c r="AC17" s="10"/>
      <c r="AD17" s="12" t="s">
        <v>7</v>
      </c>
      <c r="AE17" s="13">
        <v>0</v>
      </c>
      <c r="AF17" s="14"/>
      <c r="AG17" s="10"/>
      <c r="AH17" s="12" t="s">
        <v>7</v>
      </c>
      <c r="AI17" s="13">
        <v>0</v>
      </c>
      <c r="AJ17" s="14"/>
      <c r="AK17" s="10"/>
      <c r="AL17" s="12" t="s">
        <v>7</v>
      </c>
      <c r="AM17" s="13">
        <v>0</v>
      </c>
      <c r="AN17" s="14"/>
      <c r="AO17" s="10"/>
      <c r="AP17" s="12" t="s">
        <v>7</v>
      </c>
      <c r="AQ17" s="13">
        <v>0</v>
      </c>
      <c r="AR17" s="14"/>
      <c r="AS17" s="10"/>
      <c r="AT17" s="12" t="s">
        <v>7</v>
      </c>
      <c r="AU17" s="13">
        <v>0</v>
      </c>
      <c r="AV17" s="14"/>
      <c r="AW17" s="10"/>
      <c r="AX17" s="12" t="s">
        <v>7</v>
      </c>
      <c r="AY17" s="13">
        <v>0</v>
      </c>
      <c r="AZ17" s="14"/>
      <c r="BA17" s="51"/>
    </row>
    <row r="18" spans="1:53" ht="15" customHeight="1">
      <c r="A18" s="11"/>
      <c r="B18" s="12" t="s">
        <v>6</v>
      </c>
      <c r="C18" s="15">
        <v>0</v>
      </c>
      <c r="D18" s="14"/>
      <c r="E18" s="10"/>
      <c r="F18" s="12" t="s">
        <v>6</v>
      </c>
      <c r="G18" s="15">
        <v>0</v>
      </c>
      <c r="H18" s="14"/>
      <c r="I18" s="10"/>
      <c r="J18" s="12" t="s">
        <v>6</v>
      </c>
      <c r="K18" s="15">
        <v>0</v>
      </c>
      <c r="L18" s="14"/>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15">
        <v>0</v>
      </c>
      <c r="AJ18" s="14"/>
      <c r="AK18" s="10"/>
      <c r="AL18" s="12" t="s">
        <v>6</v>
      </c>
      <c r="AM18" s="15">
        <v>0</v>
      </c>
      <c r="AN18" s="14"/>
      <c r="AO18" s="10"/>
      <c r="AP18" s="12" t="s">
        <v>6</v>
      </c>
      <c r="AQ18" s="15">
        <v>0</v>
      </c>
      <c r="AR18" s="14"/>
      <c r="AS18" s="10"/>
      <c r="AT18" s="12" t="s">
        <v>6</v>
      </c>
      <c r="AU18" s="15">
        <v>0</v>
      </c>
      <c r="AV18" s="14"/>
      <c r="AW18" s="10"/>
      <c r="AX18" s="12" t="s">
        <v>6</v>
      </c>
      <c r="AY18" s="15">
        <v>0</v>
      </c>
      <c r="AZ18" s="14"/>
      <c r="BA18" s="51"/>
    </row>
    <row r="19" spans="1:53" ht="15" customHeight="1">
      <c r="A19" s="11"/>
      <c r="B19" s="12" t="s">
        <v>5</v>
      </c>
      <c r="C19" s="13" t="s">
        <v>4</v>
      </c>
      <c r="D19" s="14"/>
      <c r="E19" s="10"/>
      <c r="F19" s="12" t="s">
        <v>5</v>
      </c>
      <c r="G19" s="13" t="s">
        <v>4</v>
      </c>
      <c r="H19" s="14"/>
      <c r="I19" s="10"/>
      <c r="J19" s="12" t="s">
        <v>5</v>
      </c>
      <c r="K19" s="13" t="s">
        <v>4</v>
      </c>
      <c r="L19" s="14"/>
      <c r="M19" s="10"/>
      <c r="N19" s="12" t="s">
        <v>5</v>
      </c>
      <c r="O19" s="13" t="s">
        <v>4</v>
      </c>
      <c r="P19" s="14"/>
      <c r="Q19" s="10"/>
      <c r="R19" s="12" t="s">
        <v>5</v>
      </c>
      <c r="S19" s="13" t="s">
        <v>4</v>
      </c>
      <c r="T19" s="14"/>
      <c r="U19" s="10"/>
      <c r="V19" s="12" t="s">
        <v>5</v>
      </c>
      <c r="W19" s="13" t="s">
        <v>4</v>
      </c>
      <c r="X19" s="14"/>
      <c r="Y19" s="10"/>
      <c r="Z19" s="12" t="s">
        <v>5</v>
      </c>
      <c r="AA19" s="58" t="s">
        <v>265</v>
      </c>
      <c r="AB19" s="14"/>
      <c r="AC19" s="10"/>
      <c r="AD19" s="12" t="s">
        <v>5</v>
      </c>
      <c r="AE19" s="13" t="s">
        <v>4</v>
      </c>
      <c r="AF19" s="14"/>
      <c r="AG19" s="10"/>
      <c r="AH19" s="12" t="s">
        <v>5</v>
      </c>
      <c r="AI19" s="13" t="s">
        <v>4</v>
      </c>
      <c r="AJ19" s="14"/>
      <c r="AK19" s="10"/>
      <c r="AL19" s="12" t="s">
        <v>5</v>
      </c>
      <c r="AM19" s="13" t="s">
        <v>4</v>
      </c>
      <c r="AN19" s="14"/>
      <c r="AO19" s="10"/>
      <c r="AP19" s="12" t="s">
        <v>5</v>
      </c>
      <c r="AQ19" s="13" t="s">
        <v>4</v>
      </c>
      <c r="AR19" s="14"/>
      <c r="AS19" s="10"/>
      <c r="AT19" s="12" t="s">
        <v>5</v>
      </c>
      <c r="AU19" s="13" t="s">
        <v>4</v>
      </c>
      <c r="AV19" s="14"/>
      <c r="AW19" s="10"/>
      <c r="AX19" s="12" t="s">
        <v>5</v>
      </c>
      <c r="AY19" s="13" t="s">
        <v>4</v>
      </c>
      <c r="AZ19" s="14"/>
      <c r="BA19" s="51"/>
    </row>
    <row r="20" spans="1:53" ht="15" customHeight="1">
      <c r="A20" s="11"/>
      <c r="B20" s="12" t="s">
        <v>11</v>
      </c>
      <c r="C20" s="15" t="s">
        <v>13</v>
      </c>
      <c r="D20" s="43">
        <v>0</v>
      </c>
      <c r="E20" s="9"/>
      <c r="F20" s="12" t="s">
        <v>11</v>
      </c>
      <c r="G20" s="15" t="s">
        <v>13</v>
      </c>
      <c r="H20" s="14">
        <v>0</v>
      </c>
      <c r="I20" s="10"/>
      <c r="J20" s="12" t="s">
        <v>11</v>
      </c>
      <c r="K20" s="15" t="s">
        <v>13</v>
      </c>
      <c r="L20" s="14">
        <v>0</v>
      </c>
      <c r="M20" s="10"/>
      <c r="N20" s="12" t="s">
        <v>11</v>
      </c>
      <c r="O20" s="15" t="s">
        <v>13</v>
      </c>
      <c r="P20" s="14">
        <v>0</v>
      </c>
      <c r="Q20" s="10"/>
      <c r="R20" s="12" t="s">
        <v>11</v>
      </c>
      <c r="S20" s="15" t="s">
        <v>13</v>
      </c>
      <c r="T20" s="14">
        <v>0</v>
      </c>
      <c r="U20" s="10"/>
      <c r="V20" s="12" t="s">
        <v>11</v>
      </c>
      <c r="W20" s="15" t="s">
        <v>13</v>
      </c>
      <c r="X20" s="14">
        <v>0</v>
      </c>
      <c r="Y20" s="10"/>
      <c r="Z20" s="12" t="s">
        <v>11</v>
      </c>
      <c r="AA20" s="59" t="s">
        <v>131</v>
      </c>
      <c r="AB20" s="60">
        <v>5000</v>
      </c>
      <c r="AC20" s="10"/>
      <c r="AD20" s="12" t="s">
        <v>11</v>
      </c>
      <c r="AE20" s="15" t="s">
        <v>13</v>
      </c>
      <c r="AF20" s="14">
        <v>0</v>
      </c>
      <c r="AG20" s="10"/>
      <c r="AH20" s="12" t="s">
        <v>11</v>
      </c>
      <c r="AI20" s="15" t="s">
        <v>13</v>
      </c>
      <c r="AJ20" s="14">
        <v>0</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s="51"/>
    </row>
    <row r="21" spans="1:53" ht="15" customHeight="1">
      <c r="A21" s="11"/>
      <c r="B21" s="12" t="s">
        <v>12</v>
      </c>
      <c r="C21" s="15" t="s">
        <v>13</v>
      </c>
      <c r="D21" s="14">
        <v>0</v>
      </c>
      <c r="E21" s="9"/>
      <c r="F21" s="12" t="s">
        <v>12</v>
      </c>
      <c r="G21" s="15" t="s">
        <v>13</v>
      </c>
      <c r="H21" s="14">
        <v>0</v>
      </c>
      <c r="I21" s="10"/>
      <c r="J21" s="12" t="s">
        <v>12</v>
      </c>
      <c r="K21" s="15" t="s">
        <v>13</v>
      </c>
      <c r="L21" s="14">
        <v>0</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15" t="s">
        <v>13</v>
      </c>
      <c r="AJ21" s="14">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s="51"/>
    </row>
    <row r="22" spans="1:53" ht="15" customHeight="1">
      <c r="A22" s="11"/>
      <c r="B22" s="12" t="s">
        <v>14</v>
      </c>
      <c r="C22" s="15" t="s">
        <v>13</v>
      </c>
      <c r="D22" s="14">
        <v>0</v>
      </c>
      <c r="E22" s="9"/>
      <c r="F22" s="12" t="s">
        <v>14</v>
      </c>
      <c r="G22" s="15" t="s">
        <v>13</v>
      </c>
      <c r="H22" s="14">
        <v>0</v>
      </c>
      <c r="I22" s="10"/>
      <c r="J22" s="12" t="s">
        <v>14</v>
      </c>
      <c r="K22" s="15" t="s">
        <v>13</v>
      </c>
      <c r="L22" s="14">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15" t="s">
        <v>13</v>
      </c>
      <c r="AJ22" s="14">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s="51"/>
    </row>
    <row r="23" spans="1:53" s="20" customFormat="1" ht="5.0999999999999996" customHeight="1">
      <c r="A23" s="17"/>
      <c r="B23" s="18"/>
      <c r="C23" s="18"/>
      <c r="D23" s="18"/>
      <c r="E23" s="19"/>
      <c r="F23" s="18"/>
      <c r="G23" s="18"/>
      <c r="H23" s="18"/>
      <c r="I23" s="19"/>
      <c r="J23" s="18"/>
      <c r="K23" s="56"/>
      <c r="L23" s="56"/>
      <c r="M23" s="19"/>
      <c r="N23" s="18"/>
      <c r="O23" s="18"/>
      <c r="P23" s="18"/>
      <c r="Q23" s="19"/>
      <c r="R23" s="18"/>
      <c r="S23" s="18"/>
      <c r="T23" s="18"/>
      <c r="U23" s="19"/>
      <c r="V23" s="18"/>
      <c r="W23" s="18"/>
      <c r="X23" s="18"/>
      <c r="Y23" s="19"/>
      <c r="Z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s="51"/>
    </row>
    <row r="24" spans="1:53" ht="15" customHeight="1">
      <c r="A24" s="11"/>
      <c r="B24" s="12" t="s">
        <v>7</v>
      </c>
      <c r="C24" s="13">
        <v>0</v>
      </c>
      <c r="D24" s="14"/>
      <c r="E24" s="10"/>
      <c r="F24" s="12" t="s">
        <v>7</v>
      </c>
      <c r="G24" s="13">
        <v>0</v>
      </c>
      <c r="H24" s="14"/>
      <c r="I24" s="10"/>
      <c r="J24" s="12" t="s">
        <v>7</v>
      </c>
      <c r="K24" s="13">
        <v>0</v>
      </c>
      <c r="L24" s="14"/>
      <c r="M24" s="10"/>
      <c r="N24" s="12" t="s">
        <v>7</v>
      </c>
      <c r="O24" s="13">
        <v>0</v>
      </c>
      <c r="P24" s="14"/>
      <c r="Q24" s="10"/>
      <c r="R24" s="12" t="s">
        <v>7</v>
      </c>
      <c r="S24" s="13">
        <v>0</v>
      </c>
      <c r="T24" s="14"/>
      <c r="U24" s="10"/>
      <c r="V24" s="12" t="s">
        <v>7</v>
      </c>
      <c r="W24" s="13">
        <v>0</v>
      </c>
      <c r="X24" s="14"/>
      <c r="Y24" s="10"/>
      <c r="Z24" s="12" t="s">
        <v>7</v>
      </c>
      <c r="AA24" s="44">
        <v>50000</v>
      </c>
      <c r="AB24" s="43"/>
      <c r="AC24" s="10"/>
      <c r="AD24" s="12" t="s">
        <v>7</v>
      </c>
      <c r="AE24" s="13">
        <v>0</v>
      </c>
      <c r="AF24" s="14"/>
      <c r="AG24" s="10"/>
      <c r="AH24" s="12" t="s">
        <v>7</v>
      </c>
      <c r="AI24" s="13">
        <v>0</v>
      </c>
      <c r="AJ24" s="14"/>
      <c r="AK24" s="10"/>
      <c r="AL24" s="12" t="s">
        <v>7</v>
      </c>
      <c r="AM24" s="13">
        <v>0</v>
      </c>
      <c r="AN24" s="14"/>
      <c r="AO24" s="10"/>
      <c r="AP24" s="12" t="s">
        <v>7</v>
      </c>
      <c r="AQ24" s="13">
        <v>0</v>
      </c>
      <c r="AR24" s="14"/>
      <c r="AS24" s="10"/>
      <c r="AT24" s="12" t="s">
        <v>7</v>
      </c>
      <c r="AU24" s="13">
        <v>0</v>
      </c>
      <c r="AV24" s="14"/>
      <c r="AW24" s="10"/>
      <c r="AX24" s="12" t="s">
        <v>7</v>
      </c>
      <c r="AY24" s="13">
        <v>0</v>
      </c>
      <c r="AZ24" s="14"/>
      <c r="BA24" s="51"/>
    </row>
    <row r="25" spans="1:53" ht="15" customHeight="1">
      <c r="A25" s="11"/>
      <c r="B25" s="12" t="s">
        <v>6</v>
      </c>
      <c r="C25" s="15">
        <v>0</v>
      </c>
      <c r="D25" s="14"/>
      <c r="E25" s="10"/>
      <c r="F25" s="12" t="s">
        <v>6</v>
      </c>
      <c r="G25" s="15">
        <v>0</v>
      </c>
      <c r="H25" s="14"/>
      <c r="I25" s="10"/>
      <c r="J25" s="12" t="s">
        <v>6</v>
      </c>
      <c r="K25" s="15">
        <v>0</v>
      </c>
      <c r="L25" s="14"/>
      <c r="M25" s="10"/>
      <c r="N25" s="12" t="s">
        <v>6</v>
      </c>
      <c r="O25" s="15">
        <v>0</v>
      </c>
      <c r="P25" s="14"/>
      <c r="Q25" s="10"/>
      <c r="R25" s="12" t="s">
        <v>6</v>
      </c>
      <c r="S25" s="15">
        <v>0</v>
      </c>
      <c r="T25" s="14"/>
      <c r="U25" s="10"/>
      <c r="V25" s="12" t="s">
        <v>6</v>
      </c>
      <c r="W25" s="15">
        <v>0</v>
      </c>
      <c r="X25" s="14"/>
      <c r="Y25" s="10"/>
      <c r="Z25" s="12" t="s">
        <v>6</v>
      </c>
      <c r="AA25" s="44">
        <v>0</v>
      </c>
      <c r="AB25" s="43"/>
      <c r="AC25" s="10"/>
      <c r="AD25" s="12" t="s">
        <v>6</v>
      </c>
      <c r="AE25" s="15">
        <v>0</v>
      </c>
      <c r="AF25" s="14"/>
      <c r="AG25" s="10"/>
      <c r="AH25" s="12" t="s">
        <v>6</v>
      </c>
      <c r="AI25" s="15">
        <v>0</v>
      </c>
      <c r="AJ25" s="14"/>
      <c r="AK25" s="10"/>
      <c r="AL25" s="12" t="s">
        <v>6</v>
      </c>
      <c r="AM25" s="15">
        <v>0</v>
      </c>
      <c r="AN25" s="14"/>
      <c r="AO25" s="10"/>
      <c r="AP25" s="12" t="s">
        <v>6</v>
      </c>
      <c r="AQ25" s="15">
        <v>0</v>
      </c>
      <c r="AR25" s="14"/>
      <c r="AS25" s="10"/>
      <c r="AT25" s="12" t="s">
        <v>6</v>
      </c>
      <c r="AU25" s="15">
        <v>0</v>
      </c>
      <c r="AV25" s="14"/>
      <c r="AW25" s="10"/>
      <c r="AX25" s="12" t="s">
        <v>6</v>
      </c>
      <c r="AY25" s="15">
        <v>0</v>
      </c>
      <c r="AZ25" s="14"/>
      <c r="BA25" s="51"/>
    </row>
    <row r="26" spans="1:53" ht="15" customHeight="1">
      <c r="A26" s="11"/>
      <c r="B26" s="12" t="s">
        <v>5</v>
      </c>
      <c r="C26" s="13" t="s">
        <v>4</v>
      </c>
      <c r="D26" s="14"/>
      <c r="E26" s="10"/>
      <c r="F26" s="12" t="s">
        <v>5</v>
      </c>
      <c r="G26" s="13" t="s">
        <v>4</v>
      </c>
      <c r="H26" s="14"/>
      <c r="I26" s="10"/>
      <c r="J26" s="12" t="s">
        <v>5</v>
      </c>
      <c r="K26" s="13" t="s">
        <v>4</v>
      </c>
      <c r="L26" s="14"/>
      <c r="M26" s="10"/>
      <c r="N26" s="12" t="s">
        <v>5</v>
      </c>
      <c r="O26" s="13" t="s">
        <v>4</v>
      </c>
      <c r="P26" s="14"/>
      <c r="Q26" s="10"/>
      <c r="R26" s="12" t="s">
        <v>5</v>
      </c>
      <c r="S26" s="13" t="s">
        <v>4</v>
      </c>
      <c r="T26" s="14"/>
      <c r="U26" s="10"/>
      <c r="V26" s="12" t="s">
        <v>5</v>
      </c>
      <c r="W26" s="13" t="s">
        <v>4</v>
      </c>
      <c r="X26" s="14"/>
      <c r="Y26" s="10"/>
      <c r="Z26" s="12" t="s">
        <v>5</v>
      </c>
      <c r="AA26" s="44" t="s">
        <v>113</v>
      </c>
      <c r="AB26" s="43"/>
      <c r="AC26" s="10"/>
      <c r="AD26" s="12" t="s">
        <v>5</v>
      </c>
      <c r="AE26" s="13" t="s">
        <v>4</v>
      </c>
      <c r="AF26" s="14"/>
      <c r="AG26" s="10"/>
      <c r="AH26" s="12" t="s">
        <v>5</v>
      </c>
      <c r="AI26" s="13" t="s">
        <v>4</v>
      </c>
      <c r="AJ26" s="14"/>
      <c r="AK26" s="10"/>
      <c r="AL26" s="12" t="s">
        <v>5</v>
      </c>
      <c r="AM26" s="13" t="s">
        <v>4</v>
      </c>
      <c r="AN26" s="14"/>
      <c r="AO26" s="10"/>
      <c r="AP26" s="12" t="s">
        <v>5</v>
      </c>
      <c r="AQ26" s="13" t="s">
        <v>4</v>
      </c>
      <c r="AR26" s="14"/>
      <c r="AS26" s="10"/>
      <c r="AT26" s="12" t="s">
        <v>5</v>
      </c>
      <c r="AU26" s="13" t="s">
        <v>4</v>
      </c>
      <c r="AV26" s="14"/>
      <c r="AW26" s="10"/>
      <c r="AX26" s="12" t="s">
        <v>5</v>
      </c>
      <c r="AY26" s="13" t="s">
        <v>4</v>
      </c>
      <c r="AZ26" s="14"/>
      <c r="BA26" s="51"/>
    </row>
    <row r="27" spans="1:53" ht="15" customHeight="1">
      <c r="A27" s="11"/>
      <c r="B27" s="12" t="s">
        <v>11</v>
      </c>
      <c r="C27" s="15" t="s">
        <v>13</v>
      </c>
      <c r="D27" s="43">
        <v>0</v>
      </c>
      <c r="E27" s="9"/>
      <c r="F27" s="12" t="s">
        <v>11</v>
      </c>
      <c r="G27" s="15" t="s">
        <v>13</v>
      </c>
      <c r="H27" s="14">
        <v>0</v>
      </c>
      <c r="I27" s="10"/>
      <c r="J27" s="12" t="s">
        <v>11</v>
      </c>
      <c r="K27" s="15" t="s">
        <v>13</v>
      </c>
      <c r="L27" s="14">
        <v>0</v>
      </c>
      <c r="M27" s="10"/>
      <c r="N27" s="12" t="s">
        <v>11</v>
      </c>
      <c r="O27" s="15" t="s">
        <v>13</v>
      </c>
      <c r="P27" s="14">
        <v>0</v>
      </c>
      <c r="Q27" s="10"/>
      <c r="R27" s="12" t="s">
        <v>11</v>
      </c>
      <c r="S27" s="15" t="s">
        <v>13</v>
      </c>
      <c r="T27" s="14">
        <v>0</v>
      </c>
      <c r="U27" s="10"/>
      <c r="V27" s="12" t="s">
        <v>11</v>
      </c>
      <c r="W27" s="15" t="s">
        <v>13</v>
      </c>
      <c r="X27" s="14">
        <v>0</v>
      </c>
      <c r="Y27" s="10"/>
      <c r="Z27" s="12" t="s">
        <v>11</v>
      </c>
      <c r="AA27" s="44" t="s">
        <v>131</v>
      </c>
      <c r="AB27" s="43">
        <v>1999</v>
      </c>
      <c r="AC27" s="10"/>
      <c r="AD27" s="12" t="s">
        <v>11</v>
      </c>
      <c r="AE27" s="15" t="s">
        <v>13</v>
      </c>
      <c r="AF27" s="14">
        <v>0</v>
      </c>
      <c r="AG27" s="10"/>
      <c r="AH27" s="12" t="s">
        <v>11</v>
      </c>
      <c r="AI27" s="15" t="s">
        <v>13</v>
      </c>
      <c r="AJ27" s="14">
        <v>0</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s="51"/>
    </row>
    <row r="28" spans="1:53" ht="15" customHeight="1">
      <c r="A28" s="11"/>
      <c r="B28" s="12" t="s">
        <v>12</v>
      </c>
      <c r="C28" s="15" t="s">
        <v>13</v>
      </c>
      <c r="D28" s="14">
        <v>0</v>
      </c>
      <c r="E28" s="9"/>
      <c r="F28" s="12" t="s">
        <v>12</v>
      </c>
      <c r="G28" s="15" t="s">
        <v>13</v>
      </c>
      <c r="H28" s="16">
        <v>0</v>
      </c>
      <c r="I28" s="10"/>
      <c r="J28" s="12" t="s">
        <v>12</v>
      </c>
      <c r="K28" s="15" t="s">
        <v>13</v>
      </c>
      <c r="L28" s="14">
        <v>0</v>
      </c>
      <c r="M28" s="10"/>
      <c r="N28" s="12" t="s">
        <v>12</v>
      </c>
      <c r="O28" s="15" t="s">
        <v>13</v>
      </c>
      <c r="P28" s="16">
        <v>0</v>
      </c>
      <c r="Q28" s="10"/>
      <c r="R28" s="12" t="s">
        <v>12</v>
      </c>
      <c r="S28" s="15" t="s">
        <v>13</v>
      </c>
      <c r="T28" s="16">
        <v>0</v>
      </c>
      <c r="U28" s="10"/>
      <c r="V28" s="12" t="s">
        <v>12</v>
      </c>
      <c r="W28" s="15" t="s">
        <v>13</v>
      </c>
      <c r="X28" s="16">
        <v>0</v>
      </c>
      <c r="Y28" s="10"/>
      <c r="Z28" s="12" t="s">
        <v>12</v>
      </c>
      <c r="AA28" s="15" t="s">
        <v>13</v>
      </c>
      <c r="AB28" s="14">
        <v>0</v>
      </c>
      <c r="AC28" s="10"/>
      <c r="AD28" s="12" t="s">
        <v>12</v>
      </c>
      <c r="AE28" s="15" t="s">
        <v>13</v>
      </c>
      <c r="AF28" s="16">
        <v>0</v>
      </c>
      <c r="AG28" s="10"/>
      <c r="AH28" s="12" t="s">
        <v>12</v>
      </c>
      <c r="AI28" s="15" t="s">
        <v>13</v>
      </c>
      <c r="AJ28" s="14">
        <v>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s="51"/>
    </row>
    <row r="29" spans="1:53" ht="15" customHeight="1">
      <c r="A29" s="11"/>
      <c r="B29" s="12" t="s">
        <v>14</v>
      </c>
      <c r="C29" s="15" t="s">
        <v>13</v>
      </c>
      <c r="D29" s="14">
        <v>0</v>
      </c>
      <c r="E29" s="9"/>
      <c r="F29" s="12" t="s">
        <v>14</v>
      </c>
      <c r="G29" s="15" t="s">
        <v>13</v>
      </c>
      <c r="H29" s="14">
        <v>0</v>
      </c>
      <c r="I29" s="10"/>
      <c r="J29" s="12" t="s">
        <v>14</v>
      </c>
      <c r="K29" s="15" t="s">
        <v>13</v>
      </c>
      <c r="L29" s="14">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15" t="s">
        <v>13</v>
      </c>
      <c r="AJ29" s="14">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s="51"/>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s="51"/>
    </row>
    <row r="31" spans="1:53" ht="15" customHeight="1">
      <c r="A31" s="11"/>
      <c r="B31" s="12" t="s">
        <v>7</v>
      </c>
      <c r="C31" s="13">
        <v>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44">
        <v>49000</v>
      </c>
      <c r="AB31" s="43"/>
      <c r="AC31" s="10"/>
      <c r="AD31" s="12" t="s">
        <v>7</v>
      </c>
      <c r="AE31" s="13">
        <v>0</v>
      </c>
      <c r="AF31" s="14"/>
      <c r="AG31" s="10"/>
      <c r="AH31" s="12" t="s">
        <v>7</v>
      </c>
      <c r="AI31" s="13">
        <v>0</v>
      </c>
      <c r="AJ31" s="14"/>
      <c r="AK31" s="10"/>
      <c r="AL31" s="12" t="s">
        <v>7</v>
      </c>
      <c r="AM31" s="13">
        <v>0</v>
      </c>
      <c r="AN31" s="14"/>
      <c r="AO31" s="10"/>
      <c r="AP31" s="12" t="s">
        <v>7</v>
      </c>
      <c r="AQ31" s="13">
        <v>0</v>
      </c>
      <c r="AR31" s="14"/>
      <c r="AS31" s="10"/>
      <c r="AT31" s="12" t="s">
        <v>7</v>
      </c>
      <c r="AU31" s="13">
        <v>0</v>
      </c>
      <c r="AV31" s="14"/>
      <c r="AW31" s="10"/>
      <c r="AX31" s="12" t="s">
        <v>7</v>
      </c>
      <c r="AY31" s="13">
        <v>0</v>
      </c>
      <c r="AZ31" s="14"/>
      <c r="BA31" s="5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44">
        <v>0</v>
      </c>
      <c r="AB32" s="43"/>
      <c r="AC32" s="10"/>
      <c r="AD32" s="12" t="s">
        <v>6</v>
      </c>
      <c r="AE32" s="15">
        <v>0</v>
      </c>
      <c r="AF32" s="14"/>
      <c r="AG32" s="10"/>
      <c r="AH32" s="12" t="s">
        <v>6</v>
      </c>
      <c r="AI32" s="15">
        <v>0</v>
      </c>
      <c r="AJ32" s="14"/>
      <c r="AK32" s="10"/>
      <c r="AL32" s="12" t="s">
        <v>6</v>
      </c>
      <c r="AM32" s="15">
        <v>0</v>
      </c>
      <c r="AN32" s="14"/>
      <c r="AO32" s="10"/>
      <c r="AP32" s="12" t="s">
        <v>6</v>
      </c>
      <c r="AQ32" s="15">
        <v>0</v>
      </c>
      <c r="AR32" s="14"/>
      <c r="AS32" s="10"/>
      <c r="AT32" s="12" t="s">
        <v>6</v>
      </c>
      <c r="AU32" s="15">
        <v>0</v>
      </c>
      <c r="AV32" s="14"/>
      <c r="AW32" s="10"/>
      <c r="AX32" s="12" t="s">
        <v>6</v>
      </c>
      <c r="AY32" s="15">
        <v>0</v>
      </c>
      <c r="AZ32" s="14"/>
      <c r="BA32" s="51"/>
    </row>
    <row r="33" spans="1:53" ht="15" customHeight="1">
      <c r="A33" s="11"/>
      <c r="B33" s="12" t="s">
        <v>5</v>
      </c>
      <c r="C33" s="13" t="s">
        <v>4</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44" t="s">
        <v>112</v>
      </c>
      <c r="AB33" s="43"/>
      <c r="AC33" s="10"/>
      <c r="AD33" s="12" t="s">
        <v>5</v>
      </c>
      <c r="AE33" s="13" t="s">
        <v>4</v>
      </c>
      <c r="AF33" s="14"/>
      <c r="AG33" s="10"/>
      <c r="AH33" s="12" t="s">
        <v>5</v>
      </c>
      <c r="AI33" s="13" t="s">
        <v>4</v>
      </c>
      <c r="AJ33" s="14"/>
      <c r="AK33" s="10"/>
      <c r="AL33" s="12" t="s">
        <v>5</v>
      </c>
      <c r="AM33" s="13" t="s">
        <v>4</v>
      </c>
      <c r="AN33" s="14"/>
      <c r="AO33" s="10"/>
      <c r="AP33" s="12" t="s">
        <v>5</v>
      </c>
      <c r="AQ33" s="13" t="s">
        <v>4</v>
      </c>
      <c r="AR33" s="14"/>
      <c r="AS33" s="10"/>
      <c r="AT33" s="12" t="s">
        <v>5</v>
      </c>
      <c r="AU33" s="13" t="s">
        <v>4</v>
      </c>
      <c r="AV33" s="14"/>
      <c r="AW33" s="10"/>
      <c r="AX33" s="12" t="s">
        <v>5</v>
      </c>
      <c r="AY33" s="13" t="s">
        <v>4</v>
      </c>
      <c r="AZ33" s="14"/>
      <c r="BA33" s="51"/>
    </row>
    <row r="34" spans="1:53" ht="15" customHeight="1">
      <c r="A34" s="11"/>
      <c r="B34" s="12" t="s">
        <v>11</v>
      </c>
      <c r="C34" s="15" t="s">
        <v>13</v>
      </c>
      <c r="D34" s="43">
        <v>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44" t="s">
        <v>131</v>
      </c>
      <c r="AB34" s="43">
        <v>1999</v>
      </c>
      <c r="AC34" s="10"/>
      <c r="AD34" s="12" t="s">
        <v>11</v>
      </c>
      <c r="AE34" s="15" t="s">
        <v>13</v>
      </c>
      <c r="AF34" s="14">
        <v>0</v>
      </c>
      <c r="AG34" s="10"/>
      <c r="AH34" s="12" t="s">
        <v>11</v>
      </c>
      <c r="AI34" s="15" t="s">
        <v>13</v>
      </c>
      <c r="AJ34" s="14">
        <v>0</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s="51"/>
    </row>
    <row r="35" spans="1:53" ht="15" customHeight="1">
      <c r="A35" s="11"/>
      <c r="B35" s="12" t="s">
        <v>12</v>
      </c>
      <c r="C35" s="15" t="s">
        <v>13</v>
      </c>
      <c r="D35" s="43">
        <v>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4">
        <v>0</v>
      </c>
      <c r="AC35" s="10"/>
      <c r="AD35" s="12" t="s">
        <v>12</v>
      </c>
      <c r="AE35" s="15" t="s">
        <v>13</v>
      </c>
      <c r="AF35" s="16">
        <v>0</v>
      </c>
      <c r="AG35" s="10"/>
      <c r="AH35" s="12" t="s">
        <v>12</v>
      </c>
      <c r="AI35" s="15" t="s">
        <v>13</v>
      </c>
      <c r="AJ35" s="14">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s="51"/>
    </row>
    <row r="36" spans="1:53" ht="15" customHeight="1">
      <c r="A36" s="11"/>
      <c r="B36" s="12" t="s">
        <v>14</v>
      </c>
      <c r="C36" s="15" t="s">
        <v>13</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s="51"/>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s="51"/>
    </row>
    <row r="38" spans="1:53" ht="15" customHeight="1">
      <c r="A38" s="11"/>
      <c r="B38" s="12" t="s">
        <v>7</v>
      </c>
      <c r="C38" s="44">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44">
        <v>48000</v>
      </c>
      <c r="AB38" s="43"/>
      <c r="AC38" s="10"/>
      <c r="AD38" s="12" t="s">
        <v>7</v>
      </c>
      <c r="AE38" s="13">
        <v>0</v>
      </c>
      <c r="AF38" s="14"/>
      <c r="AG38" s="10"/>
      <c r="AH38" s="12" t="s">
        <v>7</v>
      </c>
      <c r="AI38" s="13">
        <v>0</v>
      </c>
      <c r="AJ38" s="14"/>
      <c r="AK38" s="10"/>
      <c r="AL38" s="12" t="s">
        <v>7</v>
      </c>
      <c r="AM38" s="13">
        <v>0</v>
      </c>
      <c r="AN38" s="14"/>
      <c r="AO38" s="10"/>
      <c r="AP38" s="12" t="s">
        <v>7</v>
      </c>
      <c r="AQ38" s="13">
        <v>0</v>
      </c>
      <c r="AR38" s="14"/>
      <c r="AS38" s="10"/>
      <c r="AT38" s="12" t="s">
        <v>7</v>
      </c>
      <c r="AU38" s="13">
        <v>0</v>
      </c>
      <c r="AV38" s="14"/>
      <c r="AW38" s="10"/>
      <c r="AX38" s="12" t="s">
        <v>7</v>
      </c>
      <c r="AY38" s="13">
        <v>0</v>
      </c>
      <c r="AZ38" s="14"/>
      <c r="BA38" s="51"/>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44">
        <v>0</v>
      </c>
      <c r="AB39" s="43"/>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s="51"/>
    </row>
    <row r="40" spans="1:53"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44" t="s">
        <v>33</v>
      </c>
      <c r="AB40" s="43"/>
      <c r="AC40" s="10"/>
      <c r="AD40" s="12" t="s">
        <v>5</v>
      </c>
      <c r="AE40" s="13" t="s">
        <v>4</v>
      </c>
      <c r="AF40" s="14"/>
      <c r="AG40" s="10"/>
      <c r="AH40" s="12" t="s">
        <v>5</v>
      </c>
      <c r="AI40" s="13" t="s">
        <v>4</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s="51"/>
    </row>
    <row r="41" spans="1:53" ht="15" customHeight="1">
      <c r="A41" s="11"/>
      <c r="B41" s="12" t="s">
        <v>11</v>
      </c>
      <c r="C41" s="15" t="s">
        <v>13</v>
      </c>
      <c r="D41" s="43">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44" t="s">
        <v>131</v>
      </c>
      <c r="AB41" s="43">
        <v>1999</v>
      </c>
      <c r="AC41" s="10"/>
      <c r="AD41" s="12" t="s">
        <v>11</v>
      </c>
      <c r="AE41" s="15" t="s">
        <v>13</v>
      </c>
      <c r="AF41" s="14">
        <v>0</v>
      </c>
      <c r="AG41" s="10"/>
      <c r="AH41" s="12" t="s">
        <v>11</v>
      </c>
      <c r="AI41" s="15" t="s">
        <v>13</v>
      </c>
      <c r="AJ41" s="14">
        <v>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s="51"/>
    </row>
    <row r="42" spans="1:53" ht="15" customHeight="1">
      <c r="A42" s="11"/>
      <c r="B42" s="12" t="s">
        <v>12</v>
      </c>
      <c r="C42" s="15" t="s">
        <v>13</v>
      </c>
      <c r="D42" s="43">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4">
        <v>0</v>
      </c>
      <c r="AC42" s="10"/>
      <c r="AD42" s="12" t="s">
        <v>12</v>
      </c>
      <c r="AE42" s="15" t="s">
        <v>13</v>
      </c>
      <c r="AF42" s="16">
        <v>0</v>
      </c>
      <c r="AG42" s="10"/>
      <c r="AH42" s="12" t="s">
        <v>12</v>
      </c>
      <c r="AI42" s="15" t="s">
        <v>13</v>
      </c>
      <c r="AJ42" s="14">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s="51"/>
    </row>
    <row r="43" spans="1:53" ht="15" customHeight="1">
      <c r="A43" s="11"/>
      <c r="B43" s="12" t="s">
        <v>14</v>
      </c>
      <c r="C43" s="15" t="s">
        <v>13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s="51"/>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s="51"/>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13">
        <v>0</v>
      </c>
      <c r="AJ45" s="14"/>
      <c r="AK45" s="10"/>
      <c r="AL45" s="12" t="s">
        <v>7</v>
      </c>
      <c r="AM45" s="13">
        <v>0</v>
      </c>
      <c r="AN45" s="14"/>
      <c r="AO45" s="10"/>
      <c r="AP45" s="12" t="s">
        <v>7</v>
      </c>
      <c r="AQ45" s="13">
        <v>0</v>
      </c>
      <c r="AR45" s="14"/>
      <c r="AS45" s="10"/>
      <c r="AT45" s="12" t="s">
        <v>7</v>
      </c>
      <c r="AU45" s="13">
        <v>0</v>
      </c>
      <c r="AV45" s="14"/>
      <c r="AW45" s="10"/>
      <c r="AX45" s="12" t="s">
        <v>7</v>
      </c>
      <c r="AY45" s="13">
        <v>0</v>
      </c>
      <c r="AZ45" s="14"/>
      <c r="BA45" s="51"/>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s="51"/>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13" t="s">
        <v>4</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s="51"/>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15" t="s">
        <v>13</v>
      </c>
      <c r="AJ48" s="14">
        <v>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s="51"/>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4">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s="51"/>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s="51"/>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s="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13">
        <v>0</v>
      </c>
      <c r="AJ52" s="14"/>
      <c r="AK52" s="10"/>
      <c r="AL52" s="12" t="s">
        <v>7</v>
      </c>
      <c r="AM52" s="13">
        <v>0</v>
      </c>
      <c r="AN52" s="14"/>
      <c r="AO52" s="10"/>
      <c r="AP52" s="12" t="s">
        <v>7</v>
      </c>
      <c r="AQ52" s="13">
        <v>0</v>
      </c>
      <c r="AR52" s="14"/>
      <c r="AS52" s="10"/>
      <c r="AT52" s="12" t="s">
        <v>7</v>
      </c>
      <c r="AU52" s="13">
        <v>0</v>
      </c>
      <c r="AV52" s="14"/>
      <c r="AW52" s="10"/>
      <c r="AX52" s="12" t="s">
        <v>7</v>
      </c>
      <c r="AY52" s="13">
        <v>0</v>
      </c>
      <c r="AZ52" s="14"/>
      <c r="BA52" s="51"/>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s="51"/>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13" t="s">
        <v>4</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s="51"/>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15" t="s">
        <v>13</v>
      </c>
      <c r="AJ55" s="14">
        <v>0</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s="51"/>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s="51"/>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s="51"/>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s="51"/>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s="51"/>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s="51"/>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s="5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s="51"/>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s="51"/>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s="51"/>
    </row>
    <row r="65" spans="1:53"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s="51"/>
    </row>
    <row r="66" spans="1:53"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s="51"/>
    </row>
    <row r="67" spans="1:53"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s="51"/>
    </row>
    <row r="68" spans="1:53"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s="51"/>
    </row>
    <row r="69" spans="1:53"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s="51"/>
    </row>
    <row r="70" spans="1:53"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s="51"/>
    </row>
    <row r="71" spans="1:53"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s="51"/>
    </row>
    <row r="72" spans="1:53"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s="51"/>
    </row>
    <row r="73" spans="1:53" ht="15" customHeight="1">
      <c r="A73" s="11"/>
      <c r="B73" s="22" t="s">
        <v>8</v>
      </c>
      <c r="C73" s="23">
        <v>200</v>
      </c>
      <c r="D73" s="24"/>
      <c r="E73" s="25"/>
      <c r="F73" s="22" t="s">
        <v>8</v>
      </c>
      <c r="G73" s="23">
        <v>1000</v>
      </c>
      <c r="H73" s="24"/>
      <c r="I73" s="25"/>
      <c r="J73" s="22" t="s">
        <v>8</v>
      </c>
      <c r="K73" s="23">
        <v>1000</v>
      </c>
      <c r="L73" s="24"/>
      <c r="M73" s="25"/>
      <c r="N73" s="22" t="s">
        <v>8</v>
      </c>
      <c r="O73" s="23">
        <v>2000</v>
      </c>
      <c r="P73" s="24"/>
      <c r="Q73" s="25"/>
      <c r="R73" s="22" t="s">
        <v>8</v>
      </c>
      <c r="S73" s="23">
        <v>0</v>
      </c>
      <c r="T73" s="24"/>
      <c r="U73" s="25"/>
      <c r="V73" s="22" t="s">
        <v>8</v>
      </c>
      <c r="W73" s="23">
        <v>5000</v>
      </c>
      <c r="X73" s="24"/>
      <c r="Y73" s="25"/>
      <c r="Z73" s="22" t="s">
        <v>8</v>
      </c>
      <c r="AA73" s="23">
        <v>1000</v>
      </c>
      <c r="AB73" s="24"/>
      <c r="AC73" s="25"/>
      <c r="AD73" s="22" t="s">
        <v>8</v>
      </c>
      <c r="AE73" s="23">
        <v>1000</v>
      </c>
      <c r="AF73" s="24"/>
      <c r="AG73" s="25"/>
      <c r="AH73" s="22" t="s">
        <v>8</v>
      </c>
      <c r="AI73" s="23">
        <v>1000</v>
      </c>
      <c r="AJ73" s="24"/>
      <c r="AK73" s="25"/>
      <c r="AL73" s="22" t="s">
        <v>8</v>
      </c>
      <c r="AM73" s="23">
        <v>0</v>
      </c>
      <c r="AN73" s="24"/>
      <c r="AO73" s="25"/>
      <c r="AP73" s="22" t="s">
        <v>8</v>
      </c>
      <c r="AQ73" s="23">
        <v>0</v>
      </c>
      <c r="AR73" s="24"/>
      <c r="AS73" s="25"/>
      <c r="AT73" s="22" t="s">
        <v>8</v>
      </c>
      <c r="AU73" s="23">
        <v>0</v>
      </c>
      <c r="AV73" s="24"/>
      <c r="AW73" s="25"/>
      <c r="AX73" s="22" t="s">
        <v>8</v>
      </c>
      <c r="AY73" s="23">
        <v>0</v>
      </c>
      <c r="AZ73" s="24"/>
      <c r="BA73" s="51"/>
    </row>
    <row r="74" spans="1:53"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1</v>
      </c>
      <c r="X74" s="28"/>
      <c r="Y74" s="25"/>
      <c r="Z74" s="26" t="s">
        <v>10</v>
      </c>
      <c r="AA74" s="45">
        <v>1</v>
      </c>
      <c r="AB74" s="28"/>
      <c r="AC74" s="25"/>
      <c r="AD74" s="26" t="s">
        <v>10</v>
      </c>
      <c r="AE74" s="27">
        <v>1</v>
      </c>
      <c r="AF74" s="28"/>
      <c r="AG74" s="25"/>
      <c r="AH74" s="26" t="s">
        <v>10</v>
      </c>
      <c r="AI74" s="45">
        <v>1</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s="51"/>
    </row>
    <row r="75" spans="1:53" s="32" customFormat="1" ht="15.7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21</v>
      </c>
      <c r="AN75" s="28"/>
      <c r="AO75" s="31"/>
      <c r="AP75" s="26" t="s">
        <v>18</v>
      </c>
      <c r="AQ75" s="27" t="s">
        <v>21</v>
      </c>
      <c r="AR75" s="28"/>
      <c r="AS75" s="31"/>
      <c r="AT75" s="26" t="s">
        <v>18</v>
      </c>
      <c r="AU75" s="27" t="s">
        <v>21</v>
      </c>
      <c r="AV75" s="28"/>
      <c r="AW75" s="31"/>
      <c r="AX75" s="26" t="s">
        <v>18</v>
      </c>
      <c r="AY75" s="27" t="s">
        <v>21</v>
      </c>
      <c r="AZ75" s="28"/>
      <c r="BA75" s="51"/>
    </row>
    <row r="76" spans="1:53" s="7" customFormat="1" ht="15.75">
      <c r="A76" s="51"/>
      <c r="B76" s="51"/>
      <c r="C76" s="51"/>
      <c r="D76" s="51"/>
      <c r="E76" s="51"/>
      <c r="F76" s="51"/>
      <c r="G76" s="51"/>
      <c r="H76" s="51"/>
      <c r="I76" s="5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row>
    <row r="77" spans="1:53" s="7" customFormat="1" ht="15.75">
      <c r="A77" s="51"/>
      <c r="B77" s="35" t="s">
        <v>119</v>
      </c>
      <c r="C77" s="36" t="s">
        <v>68</v>
      </c>
      <c r="D77" s="4" t="s">
        <v>36</v>
      </c>
      <c r="E77" s="51"/>
      <c r="F77" s="35" t="s">
        <v>119</v>
      </c>
      <c r="G77" s="36" t="s">
        <v>132</v>
      </c>
      <c r="H77" s="4" t="s">
        <v>36</v>
      </c>
      <c r="I77" s="51"/>
      <c r="J77" s="35" t="s">
        <v>5</v>
      </c>
      <c r="K77" s="47" t="s">
        <v>33</v>
      </c>
      <c r="L77" s="48" t="s">
        <v>36</v>
      </c>
      <c r="M77" s="51"/>
      <c r="N77" s="35" t="s">
        <v>5</v>
      </c>
      <c r="O77" s="36" t="s">
        <v>19</v>
      </c>
      <c r="P77" s="4" t="s">
        <v>37</v>
      </c>
      <c r="Q77" s="51"/>
      <c r="R77" s="35" t="s">
        <v>5</v>
      </c>
      <c r="S77" s="36" t="s">
        <v>51</v>
      </c>
      <c r="T77" s="4" t="s">
        <v>36</v>
      </c>
      <c r="U77" s="51"/>
      <c r="V77" s="35" t="s">
        <v>5</v>
      </c>
      <c r="W77" s="36" t="s">
        <v>52</v>
      </c>
      <c r="X77" s="48" t="s">
        <v>37</v>
      </c>
      <c r="Y77" s="51"/>
      <c r="Z77" s="35" t="s">
        <v>5</v>
      </c>
      <c r="AA77" s="36" t="s">
        <v>53</v>
      </c>
      <c r="AB77" s="48" t="s">
        <v>37</v>
      </c>
      <c r="AC77" s="51"/>
      <c r="AD77" s="35" t="s">
        <v>5</v>
      </c>
      <c r="AE77" s="36" t="s">
        <v>143</v>
      </c>
      <c r="AF77" s="4" t="s">
        <v>37</v>
      </c>
      <c r="AG77" s="51"/>
      <c r="AH77" s="35" t="s">
        <v>5</v>
      </c>
      <c r="AI77" s="36" t="s">
        <v>144</v>
      </c>
      <c r="AJ77" s="4" t="s">
        <v>36</v>
      </c>
      <c r="AK77" s="51"/>
      <c r="AL77" s="35" t="s">
        <v>5</v>
      </c>
      <c r="AM77" s="36" t="s">
        <v>145</v>
      </c>
      <c r="AN77" s="4" t="s">
        <v>37</v>
      </c>
      <c r="AO77" s="51"/>
      <c r="AP77" s="35" t="s">
        <v>5</v>
      </c>
      <c r="AQ77" s="36" t="s">
        <v>145</v>
      </c>
      <c r="AR77" s="4" t="s">
        <v>37</v>
      </c>
      <c r="AS77" s="51"/>
      <c r="AT77" s="35" t="s">
        <v>5</v>
      </c>
      <c r="AU77" s="36" t="s">
        <v>145</v>
      </c>
      <c r="AV77" s="4" t="s">
        <v>37</v>
      </c>
      <c r="AW77" s="51"/>
      <c r="AX77" s="35" t="s">
        <v>5</v>
      </c>
      <c r="AY77" s="47" t="s">
        <v>193</v>
      </c>
      <c r="AZ77" s="48" t="s">
        <v>36</v>
      </c>
      <c r="BA77" s="51"/>
    </row>
    <row r="78" spans="1:53" s="7" customFormat="1" ht="15.75">
      <c r="A78" s="51"/>
      <c r="B78" s="35" t="s">
        <v>38</v>
      </c>
      <c r="C78" s="36" t="s">
        <v>126</v>
      </c>
      <c r="D78" s="38" t="s">
        <v>120</v>
      </c>
      <c r="E78" s="51"/>
      <c r="F78" s="35" t="s">
        <v>38</v>
      </c>
      <c r="G78" s="36" t="s">
        <v>126</v>
      </c>
      <c r="H78" s="38" t="s">
        <v>120</v>
      </c>
      <c r="I78" s="51"/>
      <c r="J78" s="35" t="s">
        <v>38</v>
      </c>
      <c r="K78" s="47" t="s">
        <v>42</v>
      </c>
      <c r="L78" s="47">
        <v>0</v>
      </c>
      <c r="M78" s="51"/>
      <c r="N78" s="35" t="s">
        <v>38</v>
      </c>
      <c r="O78" s="36" t="s">
        <v>43</v>
      </c>
      <c r="P78" s="38">
        <v>15</v>
      </c>
      <c r="Q78" s="51"/>
      <c r="R78" s="35" t="s">
        <v>38</v>
      </c>
      <c r="S78" s="36" t="s">
        <v>62</v>
      </c>
      <c r="T78" s="38" t="s">
        <v>63</v>
      </c>
      <c r="U78" s="51"/>
      <c r="V78" s="35" t="s">
        <v>38</v>
      </c>
      <c r="W78" s="36" t="s">
        <v>62</v>
      </c>
      <c r="X78" s="38" t="s">
        <v>64</v>
      </c>
      <c r="Y78" s="51"/>
      <c r="Z78" s="35" t="s">
        <v>38</v>
      </c>
      <c r="AA78" s="36" t="s">
        <v>62</v>
      </c>
      <c r="AB78" s="38" t="s">
        <v>65</v>
      </c>
      <c r="AC78" s="51"/>
      <c r="AD78" s="35" t="s">
        <v>38</v>
      </c>
      <c r="AE78" s="36" t="s">
        <v>43</v>
      </c>
      <c r="AF78" s="38" t="s">
        <v>146</v>
      </c>
      <c r="AG78" s="51"/>
      <c r="AH78" s="35" t="s">
        <v>38</v>
      </c>
      <c r="AI78" s="36" t="s">
        <v>42</v>
      </c>
      <c r="AJ78" s="36">
        <v>0</v>
      </c>
      <c r="AK78" s="51"/>
      <c r="AL78" s="35" t="s">
        <v>38</v>
      </c>
      <c r="AM78" s="36" t="s">
        <v>147</v>
      </c>
      <c r="AN78" s="36">
        <v>1</v>
      </c>
      <c r="AO78" s="51"/>
      <c r="AP78" s="35" t="s">
        <v>38</v>
      </c>
      <c r="AQ78" s="36" t="s">
        <v>147</v>
      </c>
      <c r="AR78" s="36">
        <v>2</v>
      </c>
      <c r="AS78" s="51"/>
      <c r="AT78" s="35" t="s">
        <v>38</v>
      </c>
      <c r="AU78" s="36" t="s">
        <v>147</v>
      </c>
      <c r="AV78" s="36">
        <v>3</v>
      </c>
      <c r="AW78" s="51"/>
      <c r="AX78" s="35" t="s">
        <v>38</v>
      </c>
      <c r="AY78" s="47" t="s">
        <v>194</v>
      </c>
      <c r="AZ78" s="49" t="s">
        <v>65</v>
      </c>
      <c r="BA78" s="51"/>
    </row>
    <row r="79" spans="1:53" s="7" customFormat="1" ht="15.75">
      <c r="A79" s="51"/>
      <c r="B79" s="35" t="s">
        <v>38</v>
      </c>
      <c r="C79" s="36" t="s">
        <v>125</v>
      </c>
      <c r="D79" s="38" t="s">
        <v>134</v>
      </c>
      <c r="E79" s="51"/>
      <c r="F79" s="35" t="s">
        <v>38</v>
      </c>
      <c r="G79" s="36" t="s">
        <v>125</v>
      </c>
      <c r="H79" s="38" t="s">
        <v>134</v>
      </c>
      <c r="I79" s="51"/>
      <c r="J79" s="35" t="s">
        <v>38</v>
      </c>
      <c r="K79" s="47" t="s">
        <v>39</v>
      </c>
      <c r="L79" s="47">
        <v>2000</v>
      </c>
      <c r="M79" s="51"/>
      <c r="N79" s="35" t="s">
        <v>38</v>
      </c>
      <c r="O79" s="36" t="s">
        <v>44</v>
      </c>
      <c r="P79" s="38" t="s">
        <v>45</v>
      </c>
      <c r="Q79" s="51"/>
      <c r="R79" s="35" t="s">
        <v>38</v>
      </c>
      <c r="S79" s="36" t="s">
        <v>54</v>
      </c>
      <c r="T79" s="49" t="s">
        <v>235</v>
      </c>
      <c r="U79" s="51"/>
      <c r="V79" s="35" t="s">
        <v>38</v>
      </c>
      <c r="W79" s="36" t="s">
        <v>54</v>
      </c>
      <c r="X79" s="38" t="s">
        <v>115</v>
      </c>
      <c r="Y79" s="51"/>
      <c r="Z79" s="35" t="s">
        <v>38</v>
      </c>
      <c r="AA79" s="36" t="s">
        <v>54</v>
      </c>
      <c r="AB79" s="38" t="s">
        <v>118</v>
      </c>
      <c r="AC79" s="51"/>
      <c r="AD79" s="35" t="s">
        <v>38</v>
      </c>
      <c r="AE79" s="36" t="s">
        <v>148</v>
      </c>
      <c r="AF79" s="38" t="s">
        <v>64</v>
      </c>
      <c r="AG79" s="51"/>
      <c r="AH79" s="35" t="s">
        <v>38</v>
      </c>
      <c r="AI79" s="36" t="s">
        <v>149</v>
      </c>
      <c r="AJ79" s="47">
        <v>400</v>
      </c>
      <c r="AK79" s="51"/>
      <c r="AL79" s="35" t="s">
        <v>38</v>
      </c>
      <c r="AM79" s="36" t="s">
        <v>150</v>
      </c>
      <c r="AN79" s="36">
        <v>1200</v>
      </c>
      <c r="AO79" s="51"/>
      <c r="AP79" s="35" t="s">
        <v>38</v>
      </c>
      <c r="AQ79" s="36" t="s">
        <v>150</v>
      </c>
      <c r="AR79" s="36">
        <v>600</v>
      </c>
      <c r="AS79" s="51"/>
      <c r="AT79" s="35" t="s">
        <v>38</v>
      </c>
      <c r="AU79" s="36" t="s">
        <v>150</v>
      </c>
      <c r="AV79" s="36">
        <v>300</v>
      </c>
      <c r="AW79" s="51"/>
      <c r="AX79" s="35" t="s">
        <v>38</v>
      </c>
      <c r="AY79" s="47" t="s">
        <v>195</v>
      </c>
      <c r="AZ79" s="49" t="s">
        <v>249</v>
      </c>
      <c r="BA79" s="51"/>
    </row>
    <row r="80" spans="1:53" s="7" customFormat="1" ht="15.75">
      <c r="A80" s="51"/>
      <c r="B80" s="35" t="s">
        <v>38</v>
      </c>
      <c r="C80" s="36" t="s">
        <v>126</v>
      </c>
      <c r="D80" s="38" t="s">
        <v>121</v>
      </c>
      <c r="E80" s="51"/>
      <c r="F80" s="35" t="s">
        <v>38</v>
      </c>
      <c r="G80" s="36" t="s">
        <v>126</v>
      </c>
      <c r="H80" s="38" t="s">
        <v>121</v>
      </c>
      <c r="I80" s="51"/>
      <c r="J80" s="35" t="s">
        <v>38</v>
      </c>
      <c r="K80" s="47" t="s">
        <v>40</v>
      </c>
      <c r="L80" s="47">
        <v>1000</v>
      </c>
      <c r="M80" s="51"/>
      <c r="N80" s="35" t="s">
        <v>38</v>
      </c>
      <c r="O80" s="36" t="s">
        <v>46</v>
      </c>
      <c r="P80" s="38" t="s">
        <v>47</v>
      </c>
      <c r="Q80" s="51"/>
      <c r="R80" s="35" t="s">
        <v>38</v>
      </c>
      <c r="S80" s="36" t="s">
        <v>67</v>
      </c>
      <c r="T80" s="38" t="s">
        <v>258</v>
      </c>
      <c r="U80" s="51"/>
      <c r="V80" s="35" t="s">
        <v>38</v>
      </c>
      <c r="W80" s="36" t="s">
        <v>67</v>
      </c>
      <c r="X80" s="38" t="s">
        <v>117</v>
      </c>
      <c r="Y80" s="51"/>
      <c r="Z80" s="35" t="s">
        <v>38</v>
      </c>
      <c r="AA80" s="36" t="s">
        <v>67</v>
      </c>
      <c r="AB80" s="38" t="s">
        <v>117</v>
      </c>
      <c r="AC80" s="51"/>
      <c r="AD80" s="35" t="s">
        <v>38</v>
      </c>
      <c r="AE80" s="36" t="s">
        <v>46</v>
      </c>
      <c r="AF80" s="38" t="s">
        <v>142</v>
      </c>
      <c r="AG80" s="51"/>
      <c r="AH80" s="35" t="s">
        <v>38</v>
      </c>
      <c r="AI80" s="36" t="s">
        <v>151</v>
      </c>
      <c r="AJ80" s="47">
        <v>100</v>
      </c>
      <c r="AK80" s="51"/>
      <c r="AL80" s="35" t="s">
        <v>38</v>
      </c>
      <c r="AM80" s="36" t="s">
        <v>152</v>
      </c>
      <c r="AN80" s="36">
        <v>300</v>
      </c>
      <c r="AO80" s="51"/>
      <c r="AP80" s="35" t="s">
        <v>38</v>
      </c>
      <c r="AQ80" s="36" t="s">
        <v>152</v>
      </c>
      <c r="AR80" s="36">
        <v>300</v>
      </c>
      <c r="AS80" s="51"/>
      <c r="AT80" s="35" t="s">
        <v>38</v>
      </c>
      <c r="AU80" s="36" t="s">
        <v>152</v>
      </c>
      <c r="AV80" s="36">
        <v>300</v>
      </c>
      <c r="AW80" s="51"/>
      <c r="AX80" s="35" t="s">
        <v>38</v>
      </c>
      <c r="AY80" s="47" t="s">
        <v>197</v>
      </c>
      <c r="AZ80" s="49" t="s">
        <v>231</v>
      </c>
      <c r="BA80" s="51"/>
    </row>
    <row r="81" spans="1:53" s="7" customFormat="1" ht="15.75">
      <c r="A81" s="51"/>
      <c r="B81" s="35" t="s">
        <v>38</v>
      </c>
      <c r="C81" s="36" t="s">
        <v>125</v>
      </c>
      <c r="D81" s="38" t="s">
        <v>122</v>
      </c>
      <c r="E81" s="51"/>
      <c r="F81" s="35" t="s">
        <v>38</v>
      </c>
      <c r="G81" s="36" t="s">
        <v>125</v>
      </c>
      <c r="H81" s="38" t="s">
        <v>122</v>
      </c>
      <c r="I81" s="51"/>
      <c r="J81" s="35" t="s">
        <v>38</v>
      </c>
      <c r="K81" s="47" t="s">
        <v>41</v>
      </c>
      <c r="L81" s="47">
        <v>500</v>
      </c>
      <c r="M81" s="51"/>
      <c r="N81" s="35" t="s">
        <v>38</v>
      </c>
      <c r="O81" s="36" t="s">
        <v>48</v>
      </c>
      <c r="P81" s="38" t="s">
        <v>49</v>
      </c>
      <c r="Q81" s="51"/>
      <c r="R81" s="35" t="s">
        <v>38</v>
      </c>
      <c r="S81" s="36" t="s">
        <v>66</v>
      </c>
      <c r="T81" s="38" t="s">
        <v>259</v>
      </c>
      <c r="U81" s="51"/>
      <c r="V81" s="35" t="s">
        <v>38</v>
      </c>
      <c r="W81" s="36" t="s">
        <v>66</v>
      </c>
      <c r="X81" s="38" t="s">
        <v>142</v>
      </c>
      <c r="Y81" s="51"/>
      <c r="Z81" s="35" t="s">
        <v>38</v>
      </c>
      <c r="AA81" s="36" t="s">
        <v>66</v>
      </c>
      <c r="AB81" s="38" t="s">
        <v>142</v>
      </c>
      <c r="AC81" s="51"/>
      <c r="AD81" s="35" t="s">
        <v>38</v>
      </c>
      <c r="AE81" s="36" t="s">
        <v>153</v>
      </c>
      <c r="AF81" s="38" t="s">
        <v>64</v>
      </c>
      <c r="AG81" s="51"/>
      <c r="AH81" s="35" t="s">
        <v>38</v>
      </c>
      <c r="AI81" s="36" t="s">
        <v>154</v>
      </c>
      <c r="AJ81" s="47">
        <v>100</v>
      </c>
      <c r="AK81" s="51"/>
      <c r="AL81" s="51"/>
      <c r="AM81" s="51"/>
      <c r="AN81" s="51"/>
      <c r="AO81" s="51"/>
      <c r="AP81" s="51"/>
      <c r="AQ81" s="51"/>
      <c r="AR81" s="51"/>
      <c r="AS81" s="51"/>
      <c r="AT81" s="51"/>
      <c r="AU81" s="51"/>
      <c r="AV81" s="51"/>
      <c r="AW81" s="51"/>
      <c r="AX81" s="35" t="s">
        <v>38</v>
      </c>
      <c r="AY81" s="47" t="s">
        <v>198</v>
      </c>
      <c r="AZ81" s="49" t="s">
        <v>236</v>
      </c>
      <c r="BA81" s="51"/>
    </row>
    <row r="82" spans="1:53" s="7" customFormat="1" ht="15.75">
      <c r="A82" s="51"/>
      <c r="B82" s="35" t="s">
        <v>38</v>
      </c>
      <c r="C82" s="36" t="s">
        <v>126</v>
      </c>
      <c r="D82" s="38" t="s">
        <v>123</v>
      </c>
      <c r="E82" s="51"/>
      <c r="F82" s="35" t="s">
        <v>38</v>
      </c>
      <c r="G82" s="36" t="s">
        <v>126</v>
      </c>
      <c r="H82" s="38" t="s">
        <v>123</v>
      </c>
      <c r="I82" s="51"/>
      <c r="J82" s="51"/>
      <c r="K82" s="51"/>
      <c r="L82" s="51"/>
      <c r="M82" s="51"/>
      <c r="N82" s="35" t="s">
        <v>38</v>
      </c>
      <c r="O82" s="36" t="s">
        <v>50</v>
      </c>
      <c r="P82" s="38" t="s">
        <v>47</v>
      </c>
      <c r="Q82" s="51"/>
      <c r="R82" s="35" t="s">
        <v>38</v>
      </c>
      <c r="S82" s="36" t="s">
        <v>57</v>
      </c>
      <c r="T82" s="38" t="s">
        <v>227</v>
      </c>
      <c r="U82" s="51"/>
      <c r="V82" s="35" t="s">
        <v>38</v>
      </c>
      <c r="W82" s="36" t="s">
        <v>57</v>
      </c>
      <c r="X82" s="38" t="s">
        <v>58</v>
      </c>
      <c r="Y82" s="51"/>
      <c r="Z82" s="35" t="s">
        <v>38</v>
      </c>
      <c r="AA82" s="36" t="s">
        <v>57</v>
      </c>
      <c r="AB82" s="38" t="s">
        <v>58</v>
      </c>
      <c r="AC82" s="51"/>
      <c r="AD82" s="35" t="s">
        <v>38</v>
      </c>
      <c r="AE82" s="36" t="s">
        <v>50</v>
      </c>
      <c r="AF82" s="38" t="s">
        <v>136</v>
      </c>
      <c r="AG82" s="51"/>
      <c r="AH82" s="35" t="s">
        <v>38</v>
      </c>
      <c r="AI82" s="36" t="s">
        <v>155</v>
      </c>
      <c r="AJ82" s="47">
        <v>200</v>
      </c>
      <c r="AK82" s="51"/>
      <c r="AL82" s="51"/>
      <c r="AM82" s="51"/>
      <c r="AN82" s="51"/>
      <c r="AO82" s="51"/>
      <c r="AP82" s="51"/>
      <c r="AQ82" s="51"/>
      <c r="AR82" s="51"/>
      <c r="AS82" s="51"/>
      <c r="AT82" s="51"/>
      <c r="AU82" s="51"/>
      <c r="AV82" s="51"/>
      <c r="AW82" s="51"/>
      <c r="AX82" s="35" t="s">
        <v>38</v>
      </c>
      <c r="AY82" s="47" t="s">
        <v>237</v>
      </c>
      <c r="AZ82" s="49" t="s">
        <v>238</v>
      </c>
      <c r="BA82" s="51"/>
    </row>
    <row r="83" spans="1:53" s="7" customFormat="1" ht="15.75">
      <c r="A83" s="51"/>
      <c r="B83" s="35" t="s">
        <v>38</v>
      </c>
      <c r="C83" s="36" t="s">
        <v>125</v>
      </c>
      <c r="D83" s="38" t="s">
        <v>135</v>
      </c>
      <c r="E83" s="51"/>
      <c r="F83" s="35" t="s">
        <v>38</v>
      </c>
      <c r="G83" s="36" t="s">
        <v>125</v>
      </c>
      <c r="H83" s="38" t="s">
        <v>135</v>
      </c>
      <c r="I83" s="51"/>
      <c r="J83" s="51"/>
      <c r="K83" s="51"/>
      <c r="L83" s="51"/>
      <c r="M83" s="51"/>
      <c r="N83" s="51"/>
      <c r="O83" s="51"/>
      <c r="P83" s="51"/>
      <c r="Q83" s="51"/>
      <c r="R83" s="35" t="s">
        <v>38</v>
      </c>
      <c r="S83" s="36" t="s">
        <v>55</v>
      </c>
      <c r="T83" s="49" t="s">
        <v>141</v>
      </c>
      <c r="U83" s="51"/>
      <c r="V83" s="35" t="s">
        <v>38</v>
      </c>
      <c r="W83" s="36" t="s">
        <v>55</v>
      </c>
      <c r="X83" s="38" t="s">
        <v>239</v>
      </c>
      <c r="Y83" s="51"/>
      <c r="Z83" s="35" t="s">
        <v>38</v>
      </c>
      <c r="AA83" s="36" t="s">
        <v>55</v>
      </c>
      <c r="AB83" s="38" t="s">
        <v>239</v>
      </c>
      <c r="AC83" s="51"/>
      <c r="AD83" s="35" t="s">
        <v>38</v>
      </c>
      <c r="AE83" s="36" t="s">
        <v>156</v>
      </c>
      <c r="AF83" s="38" t="s">
        <v>64</v>
      </c>
      <c r="AG83" s="51"/>
      <c r="AH83" s="35" t="s">
        <v>38</v>
      </c>
      <c r="AI83" s="36" t="s">
        <v>157</v>
      </c>
      <c r="AJ83" s="47">
        <v>100</v>
      </c>
      <c r="AK83" s="51"/>
      <c r="AL83" s="51"/>
      <c r="AM83" s="51"/>
      <c r="AN83" s="51"/>
      <c r="AO83" s="51"/>
      <c r="AP83" s="51"/>
      <c r="AQ83" s="51"/>
      <c r="AR83" s="51"/>
      <c r="AS83" s="51"/>
      <c r="AT83" s="51"/>
      <c r="AU83" s="51"/>
      <c r="AV83" s="51"/>
      <c r="AW83" s="51"/>
      <c r="AX83" s="35" t="s">
        <v>38</v>
      </c>
      <c r="AY83" s="47" t="s">
        <v>199</v>
      </c>
      <c r="AZ83" s="49" t="s">
        <v>240</v>
      </c>
      <c r="BA83" s="51"/>
    </row>
    <row r="84" spans="1:53" s="7" customFormat="1" ht="15.75">
      <c r="A84" s="51"/>
      <c r="B84" s="35" t="s">
        <v>38</v>
      </c>
      <c r="C84" s="36" t="s">
        <v>126</v>
      </c>
      <c r="D84" s="38" t="s">
        <v>124</v>
      </c>
      <c r="E84" s="51"/>
      <c r="F84" s="35" t="s">
        <v>38</v>
      </c>
      <c r="G84" s="36" t="s">
        <v>126</v>
      </c>
      <c r="H84" s="38" t="s">
        <v>124</v>
      </c>
      <c r="I84" s="51"/>
      <c r="J84" s="51"/>
      <c r="K84" s="51"/>
      <c r="L84" s="51"/>
      <c r="M84" s="51"/>
      <c r="N84" s="51"/>
      <c r="O84" s="51"/>
      <c r="P84" s="51"/>
      <c r="Q84" s="51"/>
      <c r="R84" s="35" t="s">
        <v>38</v>
      </c>
      <c r="S84" s="36" t="s">
        <v>56</v>
      </c>
      <c r="T84" s="49" t="s">
        <v>137</v>
      </c>
      <c r="U84" s="51"/>
      <c r="V84" s="35" t="s">
        <v>38</v>
      </c>
      <c r="W84" s="36" t="s">
        <v>56</v>
      </c>
      <c r="X84" s="38" t="s">
        <v>241</v>
      </c>
      <c r="Y84" s="51"/>
      <c r="Z84" s="35" t="s">
        <v>38</v>
      </c>
      <c r="AA84" s="36" t="s">
        <v>56</v>
      </c>
      <c r="AB84" s="38" t="s">
        <v>241</v>
      </c>
      <c r="AC84" s="51"/>
      <c r="AD84" s="35" t="s">
        <v>38</v>
      </c>
      <c r="AE84" s="36" t="s">
        <v>158</v>
      </c>
      <c r="AF84" s="38" t="s">
        <v>159</v>
      </c>
      <c r="AG84" s="51"/>
      <c r="AH84" s="35" t="s">
        <v>38</v>
      </c>
      <c r="AI84" s="36" t="s">
        <v>160</v>
      </c>
      <c r="AJ84" s="47">
        <v>800</v>
      </c>
      <c r="AK84" s="51"/>
      <c r="AL84" s="51"/>
      <c r="AM84" s="51"/>
      <c r="AN84" s="51"/>
      <c r="AO84" s="51"/>
      <c r="AP84" s="51"/>
      <c r="AQ84" s="51"/>
      <c r="AR84" s="51"/>
      <c r="AS84" s="51"/>
      <c r="AT84" s="51"/>
      <c r="AU84" s="51"/>
      <c r="AV84" s="51"/>
      <c r="AW84" s="51"/>
      <c r="AX84" s="35" t="s">
        <v>38</v>
      </c>
      <c r="AY84" s="47" t="s">
        <v>200</v>
      </c>
      <c r="AZ84" s="49" t="s">
        <v>242</v>
      </c>
      <c r="BA84" s="51"/>
    </row>
    <row r="85" spans="1:53" s="7" customFormat="1" ht="15.75">
      <c r="A85" s="51"/>
      <c r="B85" s="35" t="s">
        <v>38</v>
      </c>
      <c r="C85" s="36" t="s">
        <v>125</v>
      </c>
      <c r="D85" s="38" t="s">
        <v>136</v>
      </c>
      <c r="E85" s="51"/>
      <c r="F85" s="35" t="s">
        <v>38</v>
      </c>
      <c r="G85" s="36" t="s">
        <v>125</v>
      </c>
      <c r="H85" s="38" t="s">
        <v>136</v>
      </c>
      <c r="I85" s="51"/>
      <c r="J85" s="51"/>
      <c r="K85" s="51"/>
      <c r="L85" s="51"/>
      <c r="M85" s="51"/>
      <c r="N85" s="51"/>
      <c r="O85" s="51"/>
      <c r="P85" s="51"/>
      <c r="Q85" s="51"/>
      <c r="R85" s="35" t="s">
        <v>38</v>
      </c>
      <c r="S85" s="36" t="s">
        <v>59</v>
      </c>
      <c r="T85" s="49" t="s">
        <v>243</v>
      </c>
      <c r="U85" s="51"/>
      <c r="V85" s="35" t="s">
        <v>38</v>
      </c>
      <c r="W85" s="36" t="s">
        <v>59</v>
      </c>
      <c r="X85" s="38" t="s">
        <v>141</v>
      </c>
      <c r="Y85" s="51"/>
      <c r="Z85" s="35" t="s">
        <v>38</v>
      </c>
      <c r="AA85" s="36" t="s">
        <v>59</v>
      </c>
      <c r="AB85" s="38" t="s">
        <v>141</v>
      </c>
      <c r="AC85" s="51"/>
      <c r="AD85" s="51"/>
      <c r="AE85" s="51"/>
      <c r="AF85" s="51"/>
      <c r="AG85" s="51"/>
      <c r="AH85" s="35" t="s">
        <v>38</v>
      </c>
      <c r="AI85" s="36" t="s">
        <v>255</v>
      </c>
      <c r="AJ85" s="47">
        <v>100</v>
      </c>
      <c r="AK85" s="51"/>
      <c r="AL85" s="51"/>
      <c r="AM85" s="51"/>
      <c r="AN85" s="51"/>
      <c r="AO85" s="51"/>
      <c r="AP85" s="51"/>
      <c r="AQ85" s="51"/>
      <c r="AR85" s="51"/>
      <c r="AS85" s="51"/>
      <c r="AT85" s="51"/>
      <c r="AU85" s="51"/>
      <c r="AV85" s="51"/>
      <c r="AW85" s="51"/>
      <c r="AX85" s="35" t="s">
        <v>38</v>
      </c>
      <c r="AY85" s="47" t="s">
        <v>201</v>
      </c>
      <c r="AZ85" s="52">
        <f>ROUND(AZ80+AZ86*AZ82/1000, 0)</f>
        <v>355000</v>
      </c>
      <c r="BA85" s="51"/>
    </row>
    <row r="86" spans="1:53" s="7" customFormat="1" ht="15.75">
      <c r="A86" s="51"/>
      <c r="B86" s="41" t="s">
        <v>38</v>
      </c>
      <c r="C86" s="42" t="s">
        <v>127</v>
      </c>
      <c r="D86" s="38" t="s">
        <v>63</v>
      </c>
      <c r="E86" s="51"/>
      <c r="F86" s="41" t="s">
        <v>38</v>
      </c>
      <c r="G86" s="42" t="s">
        <v>127</v>
      </c>
      <c r="H86" s="38" t="s">
        <v>64</v>
      </c>
      <c r="I86" s="51"/>
      <c r="J86" s="51"/>
      <c r="K86" s="51"/>
      <c r="L86" s="51"/>
      <c r="M86" s="51"/>
      <c r="N86" s="51"/>
      <c r="O86" s="51"/>
      <c r="P86" s="51"/>
      <c r="Q86" s="51"/>
      <c r="R86" s="35" t="s">
        <v>38</v>
      </c>
      <c r="S86" s="36" t="s">
        <v>60</v>
      </c>
      <c r="T86" s="49" t="s">
        <v>241</v>
      </c>
      <c r="U86" s="51"/>
      <c r="V86" s="35" t="s">
        <v>38</v>
      </c>
      <c r="W86" s="36" t="s">
        <v>60</v>
      </c>
      <c r="X86" s="38" t="s">
        <v>138</v>
      </c>
      <c r="Y86" s="51"/>
      <c r="Z86" s="35" t="s">
        <v>38</v>
      </c>
      <c r="AA86" s="36" t="s">
        <v>60</v>
      </c>
      <c r="AB86" s="38" t="s">
        <v>138</v>
      </c>
      <c r="AC86" s="51"/>
      <c r="AD86" s="51"/>
      <c r="AE86" s="51"/>
      <c r="AF86" s="51"/>
      <c r="AG86" s="51"/>
      <c r="AH86" s="35" t="s">
        <v>38</v>
      </c>
      <c r="AI86" s="36" t="s">
        <v>256</v>
      </c>
      <c r="AJ86" s="47">
        <v>25500</v>
      </c>
      <c r="AK86" s="51"/>
      <c r="AL86" s="51"/>
      <c r="AM86" s="51"/>
      <c r="AN86" s="51"/>
      <c r="AO86" s="51"/>
      <c r="AP86" s="51"/>
      <c r="AQ86" s="51"/>
      <c r="AR86" s="51"/>
      <c r="AS86" s="51"/>
      <c r="AT86" s="51"/>
      <c r="AU86" s="51"/>
      <c r="AV86" s="51"/>
      <c r="AW86" s="51"/>
      <c r="AX86" s="41" t="s">
        <v>38</v>
      </c>
      <c r="AY86" s="53" t="s">
        <v>202</v>
      </c>
      <c r="AZ86" s="52">
        <f>ROUND((AZ79-AZ80)*1000/(AZ82-AZ81),0)</f>
        <v>6000</v>
      </c>
      <c r="BA86" s="51"/>
    </row>
    <row r="87" spans="1:53" s="7" customFormat="1" ht="15.75">
      <c r="A87" s="51"/>
      <c r="B87" s="51"/>
      <c r="C87" s="51"/>
      <c r="D87" s="51"/>
      <c r="E87" s="51"/>
      <c r="F87" s="51"/>
      <c r="G87" s="51"/>
      <c r="H87" s="51"/>
      <c r="I87" s="51"/>
      <c r="J87" s="51"/>
      <c r="K87" s="51"/>
      <c r="L87" s="51"/>
      <c r="M87" s="51"/>
      <c r="N87" s="51"/>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35" t="s">
        <v>38</v>
      </c>
      <c r="AY87" s="47" t="s">
        <v>203</v>
      </c>
      <c r="AZ87" s="52">
        <f>ROUND(AZ84+AZ88*AZ82/1000,0)</f>
        <v>285016</v>
      </c>
      <c r="BA87" s="51"/>
    </row>
    <row r="88" spans="1:53" s="7" customFormat="1" ht="15.75">
      <c r="A88" s="51"/>
      <c r="B88" s="51"/>
      <c r="C88" s="51"/>
      <c r="D88" s="51"/>
      <c r="E88" s="51"/>
      <c r="F88" s="51"/>
      <c r="G88" s="51"/>
      <c r="H88" s="51"/>
      <c r="I88" s="51"/>
      <c r="J88" s="51"/>
      <c r="K88" s="51"/>
      <c r="L88" s="51"/>
      <c r="M88" s="51"/>
      <c r="N88" s="51"/>
      <c r="O88" s="51"/>
      <c r="P88" s="51"/>
      <c r="Q88" s="51"/>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41" t="s">
        <v>38</v>
      </c>
      <c r="AY88" s="53" t="s">
        <v>204</v>
      </c>
      <c r="AZ88" s="52">
        <f>ROUND((AZ83-AZ84)*1000/(AZ82-AZ81),0)</f>
        <v>4667</v>
      </c>
    </row>
    <row r="89" spans="1:53" s="7" customFormat="1" ht="15.75">
      <c r="A89" s="51"/>
      <c r="B89" s="51"/>
      <c r="C89" s="51"/>
      <c r="D89" s="51"/>
      <c r="E89" s="51"/>
      <c r="F89" s="51"/>
      <c r="G89" s="51"/>
      <c r="H89" s="51"/>
      <c r="I89" s="51"/>
      <c r="J89" s="51"/>
      <c r="K89" s="51"/>
      <c r="L89" s="51"/>
      <c r="M89" s="51"/>
      <c r="N89" s="51"/>
      <c r="O89" s="51"/>
      <c r="P89" s="51"/>
      <c r="Q89" s="51"/>
      <c r="U89" s="51"/>
      <c r="V89" s="51"/>
      <c r="W89" s="51"/>
      <c r="X89" s="51"/>
      <c r="Y89" s="51"/>
      <c r="Z89" s="51"/>
      <c r="AA89" s="51"/>
      <c r="AB89" s="51"/>
      <c r="AC89" s="51"/>
      <c r="AD89" s="51"/>
      <c r="AE89" s="51"/>
      <c r="AF89" s="51"/>
      <c r="AG89" s="51"/>
      <c r="AH89" s="51"/>
      <c r="AI89" s="51"/>
      <c r="AJ89" s="51"/>
      <c r="AK89" s="51"/>
      <c r="AL89" s="51"/>
      <c r="AM89" s="51"/>
      <c r="AN89" s="51"/>
      <c r="AO89" s="51"/>
      <c r="AP89" s="51"/>
      <c r="AQ89" s="51"/>
      <c r="AR89" s="51"/>
      <c r="AS89" s="51"/>
      <c r="AT89" s="51"/>
      <c r="AU89" s="51"/>
      <c r="AV89" s="51"/>
      <c r="AW89" s="51"/>
      <c r="AX89" s="35" t="s">
        <v>38</v>
      </c>
      <c r="AY89" s="36" t="s">
        <v>226</v>
      </c>
      <c r="AZ89" s="49" t="s">
        <v>270</v>
      </c>
    </row>
    <row r="90" spans="1:53" s="7" customFormat="1" ht="15.75">
      <c r="A90" s="51"/>
      <c r="B90" s="51"/>
      <c r="C90" s="51"/>
      <c r="D90" s="51"/>
      <c r="E90" s="51"/>
      <c r="F90" s="51"/>
      <c r="G90" s="51"/>
      <c r="H90" s="51"/>
      <c r="I90" s="51"/>
      <c r="J90" s="51"/>
      <c r="K90" s="51"/>
      <c r="L90" s="51"/>
      <c r="M90" s="51"/>
      <c r="N90" s="51"/>
      <c r="O90" s="51"/>
      <c r="P90" s="51"/>
      <c r="Q90" s="51"/>
      <c r="U90" s="51"/>
      <c r="V90" s="51"/>
      <c r="W90" s="51"/>
      <c r="X90" s="51"/>
      <c r="Y90" s="51"/>
      <c r="Z90" s="51"/>
      <c r="AA90" s="51"/>
      <c r="AB90" s="51"/>
      <c r="AC90" s="51"/>
      <c r="AD90" s="51"/>
      <c r="AE90" s="51"/>
      <c r="AF90" s="51"/>
      <c r="AG90" s="51"/>
      <c r="AH90" s="51"/>
      <c r="AI90" s="51"/>
      <c r="AJ90" s="51"/>
      <c r="AK90" s="51"/>
      <c r="AL90" s="51"/>
      <c r="AM90" s="51"/>
      <c r="AN90" s="51"/>
      <c r="AO90" s="51"/>
      <c r="AP90" s="51"/>
      <c r="AQ90" s="51"/>
      <c r="AR90" s="51"/>
      <c r="AS90" s="51"/>
      <c r="AT90" s="51"/>
      <c r="AU90" s="51"/>
      <c r="AV90" s="51"/>
      <c r="AW90" s="51"/>
      <c r="AX90" s="35" t="s">
        <v>38</v>
      </c>
      <c r="AY90" s="36" t="s">
        <v>228</v>
      </c>
      <c r="AZ90" s="49" t="s">
        <v>270</v>
      </c>
    </row>
    <row r="91" spans="1:53" s="7" customFormat="1" ht="15.75">
      <c r="A91" s="51"/>
      <c r="B91" s="51"/>
      <c r="C91" s="51"/>
      <c r="D91" s="51"/>
      <c r="E91" s="51"/>
      <c r="F91" s="51"/>
      <c r="G91" s="51"/>
      <c r="H91" s="51"/>
      <c r="I91" s="51"/>
      <c r="J91" s="51"/>
      <c r="K91" s="51"/>
      <c r="L91" s="51"/>
      <c r="M91" s="51"/>
      <c r="N91" s="51"/>
      <c r="O91" s="51"/>
      <c r="P91" s="51"/>
      <c r="Q91" s="51"/>
      <c r="U91" s="51"/>
      <c r="V91" s="51"/>
      <c r="W91" s="51"/>
      <c r="X91" s="51"/>
      <c r="Y91" s="51"/>
      <c r="Z91" s="51"/>
      <c r="AA91" s="51"/>
      <c r="AB91" s="51"/>
      <c r="AC91" s="51"/>
      <c r="AD91" s="51"/>
      <c r="AE91" s="51"/>
      <c r="AF91" s="51"/>
      <c r="AG91" s="51"/>
      <c r="AH91" s="51"/>
      <c r="AI91" s="51"/>
      <c r="AJ91" s="51"/>
      <c r="AK91" s="51"/>
      <c r="AL91" s="51"/>
      <c r="AM91" s="51"/>
      <c r="AN91" s="51"/>
      <c r="AO91" s="51"/>
      <c r="AP91" s="51"/>
      <c r="AQ91" s="51"/>
      <c r="AR91" s="51"/>
      <c r="AS91" s="51"/>
      <c r="AT91" s="51"/>
      <c r="AU91" s="51"/>
      <c r="AV91" s="51"/>
      <c r="AW91" s="51"/>
      <c r="AX91" s="35" t="s">
        <v>38</v>
      </c>
      <c r="AY91" s="36" t="s">
        <v>229</v>
      </c>
      <c r="AZ91" s="49" t="s">
        <v>230</v>
      </c>
    </row>
    <row r="92" spans="1:53" s="7" customFormat="1" ht="15.75">
      <c r="A92" s="51"/>
      <c r="B92" s="51"/>
      <c r="C92" s="51"/>
      <c r="D92" s="51"/>
      <c r="E92" s="51"/>
      <c r="F92" s="51"/>
      <c r="G92" s="51"/>
      <c r="H92" s="51"/>
      <c r="I92" s="51"/>
      <c r="J92" s="51"/>
      <c r="K92" s="51"/>
      <c r="L92" s="51"/>
      <c r="M92" s="51"/>
      <c r="N92" s="51"/>
      <c r="O92" s="51"/>
      <c r="P92" s="51"/>
      <c r="Q92" s="51"/>
      <c r="U92" s="51"/>
      <c r="V92" s="51"/>
      <c r="W92" s="51"/>
      <c r="X92" s="51"/>
      <c r="Y92" s="51"/>
      <c r="Z92" s="51"/>
      <c r="AA92" s="51"/>
      <c r="AB92" s="51"/>
      <c r="AC92" s="51"/>
      <c r="AD92" s="51"/>
      <c r="AE92" s="51"/>
      <c r="AF92" s="51"/>
      <c r="AG92" s="51"/>
      <c r="AH92" s="51"/>
      <c r="AI92" s="51"/>
      <c r="AJ92" s="51"/>
      <c r="AK92" s="51"/>
      <c r="AL92" s="51"/>
      <c r="AM92" s="51"/>
      <c r="AN92" s="51"/>
      <c r="AO92" s="51"/>
      <c r="AP92" s="51"/>
      <c r="AQ92" s="51"/>
      <c r="AR92" s="51"/>
      <c r="AS92" s="51"/>
      <c r="AT92" s="51"/>
      <c r="AU92" s="51"/>
      <c r="AV92" s="51"/>
      <c r="AW92" s="51"/>
      <c r="AX92" s="51"/>
    </row>
    <row r="93" spans="1:53" s="7" customFormat="1" ht="15.75">
      <c r="A93" s="51"/>
      <c r="B93" s="51"/>
      <c r="C93" s="51"/>
      <c r="D93" s="51"/>
      <c r="E93" s="51"/>
      <c r="F93" s="51"/>
      <c r="G93" s="51"/>
      <c r="H93" s="51"/>
      <c r="I93" s="51"/>
      <c r="J93" s="51"/>
      <c r="K93" s="51"/>
      <c r="L93" s="51"/>
      <c r="M93" s="51"/>
      <c r="N93" s="51"/>
      <c r="O93" s="51"/>
      <c r="P93" s="51"/>
      <c r="Q93" s="51"/>
      <c r="U93" s="51"/>
      <c r="V93" s="51"/>
      <c r="W93" s="51"/>
      <c r="X93" s="51"/>
      <c r="Y93" s="51"/>
      <c r="Z93" s="51"/>
      <c r="AA93" s="51"/>
      <c r="AB93" s="51"/>
      <c r="AC93" s="51"/>
      <c r="AD93" s="51"/>
      <c r="AE93" s="51"/>
      <c r="AF93" s="51"/>
      <c r="AG93" s="51"/>
      <c r="AH93" s="51"/>
      <c r="AI93" s="51"/>
      <c r="AJ93" s="51"/>
      <c r="AK93" s="51"/>
      <c r="AL93" s="51"/>
      <c r="AM93" s="51"/>
      <c r="AN93" s="51"/>
      <c r="AO93" s="51"/>
      <c r="AP93" s="51"/>
      <c r="AQ93" s="51"/>
      <c r="AR93" s="51"/>
      <c r="AS93" s="51"/>
      <c r="AT93" s="51"/>
      <c r="AU93" s="51"/>
      <c r="AV93" s="51"/>
      <c r="AW93" s="51"/>
      <c r="AX93" s="51"/>
    </row>
    <row r="94" spans="1:53" s="7" customFormat="1" ht="15.75">
      <c r="A94" s="51"/>
      <c r="B94" s="51"/>
      <c r="C94" s="51"/>
      <c r="D94" s="51"/>
      <c r="E94" s="51"/>
      <c r="F94" s="51"/>
      <c r="G94" s="51"/>
      <c r="H94" s="51"/>
      <c r="I94" s="51"/>
      <c r="J94" s="51"/>
      <c r="K94" s="51"/>
      <c r="L94" s="51"/>
      <c r="M94" s="51"/>
      <c r="N94" s="51"/>
      <c r="O94" s="51"/>
      <c r="P94" s="51"/>
      <c r="Q94" s="51"/>
      <c r="U94" s="51"/>
      <c r="V94" s="51"/>
      <c r="W94" s="51"/>
      <c r="X94" s="51"/>
      <c r="Y94" s="51"/>
      <c r="Z94" s="51"/>
      <c r="AA94" s="51"/>
      <c r="AB94" s="51"/>
      <c r="AC94" s="51"/>
      <c r="AD94" s="51"/>
      <c r="AE94" s="51"/>
      <c r="AF94" s="51"/>
      <c r="AG94" s="51"/>
      <c r="AH94" s="51"/>
      <c r="AI94" s="51"/>
      <c r="AJ94" s="51"/>
      <c r="AK94" s="51"/>
      <c r="AL94" s="51"/>
      <c r="AM94" s="51"/>
      <c r="AN94" s="51"/>
      <c r="AO94" s="51"/>
      <c r="AP94" s="51"/>
      <c r="AQ94" s="51"/>
      <c r="AR94" s="51"/>
      <c r="AS94" s="51"/>
      <c r="AT94" s="51"/>
      <c r="AU94" s="51"/>
      <c r="AV94" s="51"/>
      <c r="AW94" s="51"/>
      <c r="AX94" s="51"/>
    </row>
    <row r="95" spans="1:53" ht="15.75">
      <c r="A95" s="51"/>
      <c r="B95" s="51"/>
      <c r="C95" s="51"/>
      <c r="D95" s="51"/>
      <c r="E95" s="51"/>
      <c r="F95" s="51"/>
      <c r="G95" s="51"/>
      <c r="H95" s="51"/>
      <c r="I95" s="51"/>
      <c r="J95" s="51"/>
      <c r="K95" s="51"/>
      <c r="L95" s="51"/>
      <c r="M95" s="51"/>
      <c r="N95" s="51"/>
      <c r="O95" s="51"/>
      <c r="P95" s="51"/>
      <c r="Q95" s="51"/>
      <c r="U95" s="51"/>
      <c r="V95" s="51"/>
      <c r="W95" s="51"/>
      <c r="X95" s="51"/>
      <c r="Y95" s="51"/>
      <c r="Z95" s="51"/>
      <c r="AA95" s="51"/>
      <c r="AB95" s="51"/>
      <c r="AC95" s="51"/>
      <c r="AD95" s="51"/>
      <c r="AE95" s="51"/>
      <c r="AF95" s="51"/>
      <c r="AG95" s="51"/>
      <c r="AH95" s="51"/>
      <c r="AI95" s="51"/>
      <c r="AJ95" s="51"/>
      <c r="AK95" s="51"/>
      <c r="AL95" s="51"/>
      <c r="AM95" s="51"/>
      <c r="AN95" s="51"/>
      <c r="AO95" s="51"/>
      <c r="AP95" s="51"/>
      <c r="AQ95" s="51"/>
      <c r="AR95" s="51"/>
      <c r="AS95" s="51"/>
      <c r="AT95" s="51"/>
      <c r="AU95" s="51"/>
      <c r="AV95" s="51"/>
      <c r="AW95" s="51"/>
      <c r="AX95" s="51"/>
      <c r="AY95" s="1"/>
      <c r="AZ95" s="1"/>
      <c r="BA95" s="1"/>
    </row>
    <row r="96" spans="1:53" ht="15.75">
      <c r="A96" s="51"/>
      <c r="B96" s="51"/>
      <c r="C96" s="51"/>
      <c r="D96" s="51"/>
      <c r="E96" s="51"/>
      <c r="F96" s="51"/>
      <c r="G96" s="51"/>
      <c r="H96" s="51"/>
      <c r="I96" s="51"/>
      <c r="J96" s="51"/>
      <c r="K96" s="51"/>
      <c r="L96" s="51"/>
      <c r="M96" s="51"/>
      <c r="N96" s="51"/>
      <c r="O96" s="51"/>
      <c r="P96" s="51"/>
      <c r="Q96" s="51"/>
      <c r="U96" s="51"/>
      <c r="V96" s="51"/>
      <c r="W96" s="51"/>
      <c r="X96" s="51"/>
      <c r="Y96" s="51"/>
      <c r="Z96" s="51"/>
      <c r="AA96" s="51"/>
      <c r="AB96" s="51"/>
      <c r="AC96" s="51"/>
      <c r="AD96" s="51"/>
      <c r="AE96" s="51"/>
      <c r="AF96" s="51"/>
      <c r="AG96" s="51"/>
      <c r="AH96" s="51"/>
      <c r="AI96" s="51"/>
      <c r="AJ96" s="51"/>
      <c r="AK96" s="51"/>
      <c r="AL96" s="51"/>
      <c r="AM96" s="51"/>
      <c r="AN96" s="51"/>
      <c r="AO96" s="51"/>
      <c r="AP96" s="51"/>
      <c r="AQ96" s="51"/>
      <c r="AR96" s="51"/>
      <c r="AS96" s="51"/>
      <c r="AT96" s="51"/>
      <c r="AU96" s="51"/>
      <c r="AV96" s="51"/>
      <c r="AW96" s="51"/>
      <c r="AX96" s="51"/>
      <c r="AY96" s="1"/>
      <c r="AZ96" s="1"/>
      <c r="BA96" s="1"/>
    </row>
    <row r="97" spans="1:53" ht="15.75">
      <c r="A97" s="51"/>
      <c r="B97" s="51"/>
      <c r="C97" s="51"/>
      <c r="D97" s="51"/>
      <c r="E97" s="51"/>
      <c r="F97" s="51"/>
      <c r="G97" s="51"/>
      <c r="H97" s="51"/>
      <c r="I97" s="51"/>
      <c r="J97" s="51"/>
      <c r="K97" s="51"/>
      <c r="L97" s="51"/>
      <c r="M97" s="51"/>
      <c r="N97" s="51"/>
      <c r="O97" s="51"/>
      <c r="P97" s="51"/>
      <c r="Q97" s="51"/>
      <c r="U97" s="51"/>
      <c r="V97" s="51"/>
      <c r="W97" s="51"/>
      <c r="X97" s="51"/>
      <c r="Y97" s="51"/>
      <c r="Z97" s="51"/>
      <c r="AA97" s="51"/>
      <c r="AB97" s="51"/>
      <c r="AC97" s="51"/>
      <c r="AD97" s="51"/>
      <c r="AE97" s="51"/>
      <c r="AF97" s="51"/>
      <c r="AG97" s="51"/>
      <c r="AH97" s="51"/>
      <c r="AI97" s="51"/>
      <c r="AJ97" s="51"/>
      <c r="AK97" s="51"/>
      <c r="AL97" s="51"/>
      <c r="AM97" s="51"/>
      <c r="AN97" s="51"/>
      <c r="AO97" s="51"/>
      <c r="AP97" s="51"/>
      <c r="AQ97" s="51"/>
      <c r="AR97" s="51"/>
      <c r="AS97" s="51"/>
      <c r="AT97" s="51"/>
      <c r="AU97" s="51"/>
      <c r="AV97" s="51"/>
      <c r="AW97" s="51"/>
      <c r="AX97" s="51"/>
      <c r="AY97" s="1"/>
      <c r="AZ97" s="1"/>
      <c r="BA97" s="1"/>
    </row>
    <row r="98" spans="1:53" ht="15.75">
      <c r="A98" s="51"/>
      <c r="B98" s="51"/>
      <c r="C98" s="51"/>
      <c r="D98" s="51"/>
      <c r="E98" s="51"/>
      <c r="F98" s="51"/>
      <c r="G98" s="51"/>
      <c r="H98" s="51"/>
      <c r="I98" s="51"/>
      <c r="J98" s="51"/>
      <c r="K98" s="51"/>
      <c r="L98" s="51"/>
      <c r="M98" s="51"/>
      <c r="N98" s="51"/>
      <c r="O98" s="51"/>
      <c r="P98" s="51"/>
      <c r="Q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c r="AT98" s="51"/>
      <c r="AU98" s="51"/>
      <c r="AV98" s="51"/>
      <c r="AW98" s="51"/>
      <c r="AX98" s="51"/>
      <c r="AY98" s="1"/>
      <c r="AZ98" s="1"/>
      <c r="BA98" s="1"/>
    </row>
    <row r="99" spans="1:53" ht="15.75">
      <c r="A99" s="51"/>
      <c r="B99" s="51"/>
      <c r="C99" s="51"/>
      <c r="D99" s="51"/>
      <c r="E99" s="51"/>
      <c r="F99" s="51"/>
      <c r="G99" s="51"/>
      <c r="H99" s="51"/>
      <c r="I99" s="51"/>
      <c r="J99" s="51"/>
      <c r="K99" s="51"/>
      <c r="L99" s="51"/>
      <c r="M99" s="51"/>
      <c r="N99" s="51"/>
      <c r="O99" s="51"/>
      <c r="P99" s="51"/>
      <c r="Q99" s="51"/>
      <c r="U99" s="51"/>
      <c r="V99" s="51"/>
      <c r="W99" s="51"/>
      <c r="X99" s="51"/>
      <c r="Y99" s="51"/>
      <c r="Z99" s="51"/>
      <c r="AA99" s="51"/>
      <c r="AB99" s="51"/>
      <c r="AC99" s="51"/>
      <c r="AD99" s="51"/>
      <c r="AE99" s="51"/>
      <c r="AF99" s="51"/>
      <c r="AG99" s="51"/>
      <c r="AH99" s="51"/>
      <c r="AI99" s="51"/>
      <c r="AJ99" s="51"/>
      <c r="AK99" s="51"/>
      <c r="AL99" s="51"/>
      <c r="AM99" s="51"/>
      <c r="AN99" s="51"/>
      <c r="AO99" s="51"/>
      <c r="AP99" s="51"/>
      <c r="AQ99" s="51"/>
      <c r="AR99" s="51"/>
      <c r="AS99" s="51"/>
      <c r="AT99" s="51"/>
      <c r="AU99" s="51"/>
      <c r="AV99" s="51"/>
      <c r="AW99" s="51"/>
      <c r="AX99" s="51"/>
      <c r="AY99" s="1"/>
      <c r="AZ99" s="1"/>
      <c r="BA99" s="1"/>
    </row>
    <row r="100" spans="1:53" ht="15.75">
      <c r="A100" s="51"/>
      <c r="B100" s="51"/>
      <c r="C100" s="51"/>
      <c r="D100" s="51"/>
      <c r="E100" s="51"/>
      <c r="F100" s="51"/>
      <c r="G100" s="51"/>
      <c r="H100" s="51"/>
      <c r="I100" s="51"/>
      <c r="J100" s="51"/>
      <c r="K100" s="51"/>
      <c r="L100" s="51"/>
      <c r="M100" s="51"/>
      <c r="N100" s="51"/>
      <c r="O100" s="51"/>
      <c r="P100" s="51"/>
      <c r="Q100" s="51"/>
      <c r="U100" s="51"/>
      <c r="V100" s="51"/>
      <c r="W100" s="51"/>
      <c r="X100" s="51"/>
      <c r="Y100" s="51"/>
      <c r="Z100" s="51"/>
      <c r="AA100" s="51"/>
      <c r="AB100" s="51"/>
      <c r="AC100" s="51"/>
      <c r="AD100" s="51"/>
      <c r="AE100" s="51"/>
      <c r="AF100" s="51"/>
      <c r="AG100" s="51"/>
      <c r="AH100" s="51"/>
      <c r="AI100" s="51"/>
      <c r="AJ100" s="51"/>
      <c r="AK100" s="51"/>
      <c r="AL100" s="51"/>
      <c r="AM100" s="51"/>
      <c r="AN100" s="51"/>
      <c r="AO100" s="51"/>
      <c r="AP100" s="51"/>
      <c r="AQ100" s="51"/>
      <c r="AR100" s="51"/>
      <c r="AS100" s="51"/>
      <c r="AT100" s="51"/>
      <c r="AU100" s="51"/>
      <c r="AV100" s="51"/>
      <c r="AW100" s="51"/>
      <c r="AX100" s="51"/>
      <c r="AY100" s="51"/>
      <c r="AZ100" s="51"/>
      <c r="BA100" s="51"/>
    </row>
    <row r="101" spans="1:53" ht="15.75">
      <c r="A101" s="51"/>
      <c r="B101" s="51"/>
      <c r="C101" s="51"/>
      <c r="D101" s="51"/>
      <c r="E101" s="51"/>
      <c r="F101" s="51"/>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c r="AT101" s="51"/>
      <c r="AU101" s="51"/>
      <c r="AV101" s="51"/>
      <c r="AW101" s="51"/>
      <c r="AX101" s="51"/>
      <c r="AY101" s="51"/>
      <c r="AZ101" s="51"/>
      <c r="BA101" s="51"/>
    </row>
    <row r="102" spans="1:53" ht="15.75">
      <c r="A102" s="51"/>
      <c r="B102" s="51"/>
      <c r="C102" s="51"/>
      <c r="D102" s="51"/>
      <c r="E102" s="51"/>
      <c r="F102" s="51"/>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c r="AT102" s="51"/>
      <c r="AU102" s="51"/>
      <c r="AV102" s="51"/>
      <c r="AW102" s="51"/>
      <c r="AX102" s="51"/>
      <c r="AY102" s="51"/>
      <c r="AZ102" s="51"/>
      <c r="BA102" s="51"/>
    </row>
    <row r="103" spans="1:53" ht="15.75">
      <c r="A103" s="51"/>
      <c r="B103" s="51"/>
      <c r="C103" s="51"/>
      <c r="D103" s="51"/>
      <c r="E103" s="51"/>
      <c r="F103" s="51"/>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c r="AJ103" s="51"/>
      <c r="AK103" s="51"/>
      <c r="AL103" s="51"/>
      <c r="AM103" s="51"/>
      <c r="AN103" s="51"/>
      <c r="AO103" s="51"/>
      <c r="AP103" s="51"/>
      <c r="AQ103" s="51"/>
      <c r="AR103" s="51"/>
      <c r="AS103" s="51"/>
      <c r="AT103" s="51"/>
      <c r="AU103" s="51"/>
      <c r="AV103" s="51"/>
      <c r="AW103" s="51"/>
      <c r="AX103" s="51"/>
      <c r="AY103" s="51"/>
      <c r="AZ103" s="51"/>
      <c r="BA103" s="51"/>
    </row>
    <row r="104" spans="1:53" ht="15.75">
      <c r="A104" s="51"/>
      <c r="B104" s="51"/>
      <c r="C104" s="51"/>
      <c r="D104" s="51"/>
      <c r="E104" s="51"/>
      <c r="F104" s="51"/>
      <c r="G104" s="51"/>
      <c r="H104" s="51"/>
      <c r="I104" s="51"/>
      <c r="J104" s="51"/>
      <c r="K104" s="51"/>
      <c r="L104" s="51"/>
      <c r="M104" s="51"/>
      <c r="N104" s="51"/>
      <c r="O104" s="51"/>
      <c r="P104" s="51"/>
      <c r="Q104" s="51"/>
      <c r="R104" s="51"/>
      <c r="S104" s="51"/>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c r="AT104" s="51"/>
      <c r="AU104" s="51"/>
      <c r="AV104" s="51"/>
      <c r="AW104" s="51"/>
      <c r="AX104" s="51"/>
      <c r="AY104" s="51"/>
      <c r="AZ104" s="51"/>
      <c r="BA104" s="51"/>
    </row>
    <row r="105" spans="1:53" ht="15.75">
      <c r="A105" s="51"/>
      <c r="B105" s="51"/>
      <c r="C105" s="51"/>
      <c r="D105" s="51"/>
      <c r="E105" s="51"/>
      <c r="F105" s="51"/>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c r="AD105" s="51"/>
      <c r="AE105" s="51"/>
      <c r="AF105" s="51"/>
      <c r="AG105" s="51"/>
      <c r="AH105" s="51"/>
      <c r="AI105" s="51"/>
      <c r="AJ105" s="51"/>
      <c r="AK105" s="51"/>
      <c r="AL105" s="51"/>
      <c r="AM105" s="51"/>
      <c r="AN105" s="51"/>
      <c r="AO105" s="51"/>
      <c r="AP105" s="51"/>
      <c r="AQ105" s="51"/>
      <c r="AR105" s="51"/>
      <c r="AS105" s="51"/>
      <c r="AT105" s="51"/>
      <c r="AU105" s="51"/>
      <c r="AV105" s="51"/>
      <c r="AW105" s="51"/>
      <c r="AX105" s="51"/>
      <c r="AY105" s="51"/>
      <c r="AZ105" s="51"/>
      <c r="BA105" s="51"/>
    </row>
    <row r="106" spans="1:53" ht="15.75">
      <c r="A106" s="51"/>
      <c r="B106" s="51"/>
      <c r="C106" s="51"/>
      <c r="D106" s="51"/>
      <c r="E106" s="51"/>
      <c r="F106" s="51"/>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c r="AV106" s="51"/>
      <c r="AW106" s="51"/>
      <c r="AX106" s="51"/>
      <c r="AY106" s="51"/>
      <c r="AZ106" s="51"/>
      <c r="BA106" s="51"/>
    </row>
    <row r="107" spans="1:53" ht="15.75">
      <c r="A107" s="51"/>
      <c r="B107" s="51"/>
      <c r="C107" s="51"/>
      <c r="D107" s="51"/>
      <c r="E107" s="51"/>
      <c r="F107" s="51"/>
      <c r="G107" s="51"/>
      <c r="H107" s="51"/>
      <c r="I107" s="5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c r="AV107" s="51"/>
      <c r="AW107" s="51"/>
      <c r="AX107" s="51"/>
      <c r="AY107" s="51"/>
      <c r="AZ107" s="51"/>
      <c r="BA107" s="51"/>
    </row>
    <row r="108" spans="1:53" ht="15.75">
      <c r="A108" s="51"/>
      <c r="B108" s="51"/>
      <c r="C108" s="51"/>
      <c r="D108" s="51"/>
      <c r="E108" s="51"/>
      <c r="F108" s="51"/>
      <c r="G108" s="51"/>
      <c r="H108" s="51"/>
      <c r="I108" s="5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c r="AV108" s="51"/>
      <c r="AW108" s="51"/>
      <c r="AX108" s="51"/>
      <c r="AY108" s="51"/>
      <c r="AZ108" s="51"/>
      <c r="BA108" s="51"/>
    </row>
    <row r="109" spans="1:53" ht="15.75">
      <c r="A109" s="51"/>
      <c r="B109" s="51"/>
      <c r="C109" s="51"/>
      <c r="D109" s="51"/>
      <c r="E109" s="51"/>
      <c r="F109" s="51"/>
      <c r="G109" s="51"/>
      <c r="H109" s="51"/>
      <c r="I109" s="5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c r="AV109" s="51"/>
      <c r="AW109" s="51"/>
      <c r="AX109" s="51"/>
      <c r="AY109" s="51"/>
      <c r="AZ109" s="51"/>
      <c r="BA109" s="51"/>
    </row>
    <row r="110" spans="1:53" ht="15.75">
      <c r="A110" s="51"/>
      <c r="B110" s="51"/>
      <c r="C110" s="51"/>
      <c r="D110" s="51"/>
      <c r="E110" s="51"/>
      <c r="F110" s="51"/>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c r="AV110" s="51"/>
      <c r="AW110" s="51"/>
      <c r="AX110" s="51"/>
      <c r="AY110" s="51"/>
      <c r="AZ110" s="51"/>
      <c r="BA110" s="51"/>
    </row>
    <row r="111" spans="1:53" ht="15.75">
      <c r="A111" s="51"/>
      <c r="B111" s="51"/>
      <c r="C111" s="51"/>
      <c r="D111" s="51"/>
      <c r="E111" s="51"/>
      <c r="F111" s="51"/>
      <c r="G111" s="51"/>
      <c r="H111" s="51"/>
      <c r="I111" s="5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c r="AV111" s="51"/>
      <c r="AW111" s="51"/>
      <c r="AX111" s="51"/>
      <c r="AY111" s="51"/>
      <c r="AZ111" s="51"/>
      <c r="BA111" s="51"/>
    </row>
    <row r="112" spans="1:53" ht="15.75">
      <c r="A112" s="51"/>
      <c r="B112" s="51"/>
      <c r="C112" s="51"/>
      <c r="D112" s="51"/>
      <c r="E112" s="51"/>
      <c r="F112" s="51"/>
      <c r="G112" s="51"/>
      <c r="H112" s="51"/>
      <c r="I112" s="5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c r="AV112" s="51"/>
      <c r="AW112" s="51"/>
      <c r="AX112" s="51"/>
      <c r="AY112" s="51"/>
      <c r="AZ112" s="51"/>
      <c r="BA112" s="51"/>
    </row>
    <row r="113" spans="1:53" ht="15.75">
      <c r="A113" s="51"/>
      <c r="B113" s="51"/>
      <c r="C113" s="51"/>
      <c r="D113" s="51"/>
      <c r="E113" s="51"/>
      <c r="F113" s="51"/>
      <c r="G113" s="51"/>
      <c r="H113" s="51"/>
      <c r="I113" s="5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c r="AV113" s="51"/>
      <c r="AW113" s="51"/>
      <c r="AX113" s="51"/>
      <c r="AY113" s="51"/>
      <c r="AZ113" s="51"/>
      <c r="BA113" s="51"/>
    </row>
    <row r="114" spans="1:53" ht="15.75">
      <c r="A114" s="51"/>
      <c r="B114" s="51"/>
      <c r="C114" s="51"/>
      <c r="D114" s="51"/>
      <c r="E114" s="51"/>
      <c r="F114" s="51"/>
      <c r="G114" s="51"/>
      <c r="H114" s="51"/>
      <c r="I114" s="5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c r="AV114" s="51"/>
      <c r="AW114" s="51"/>
      <c r="AX114" s="51"/>
      <c r="AY114" s="51"/>
      <c r="AZ114" s="51"/>
      <c r="BA114" s="51"/>
    </row>
    <row r="115" spans="1:53" ht="15.75">
      <c r="A115" s="51"/>
      <c r="B115" s="51"/>
      <c r="C115" s="51"/>
      <c r="D115" s="51"/>
      <c r="E115" s="51"/>
      <c r="F115" s="51"/>
      <c r="G115" s="51"/>
      <c r="H115" s="51"/>
      <c r="I115" s="5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c r="AV115" s="51"/>
      <c r="AW115" s="51"/>
      <c r="AX115" s="51"/>
      <c r="AY115" s="51"/>
      <c r="AZ115" s="51"/>
      <c r="BA115" s="51"/>
    </row>
    <row r="116" spans="1:53" ht="15.75">
      <c r="A116" s="51"/>
      <c r="B116" s="51"/>
      <c r="C116" s="51"/>
      <c r="D116" s="51"/>
      <c r="E116" s="51"/>
      <c r="F116" s="51"/>
      <c r="G116" s="51"/>
      <c r="H116" s="51"/>
      <c r="I116" s="51"/>
      <c r="J116" s="51"/>
      <c r="K116" s="51"/>
      <c r="L116" s="51"/>
      <c r="M116" s="51"/>
      <c r="N116" s="51"/>
      <c r="O116" s="51"/>
      <c r="P116" s="51"/>
      <c r="Q116" s="51"/>
      <c r="R116" s="51"/>
      <c r="S116" s="51"/>
      <c r="T116" s="51"/>
      <c r="U116" s="51"/>
      <c r="V116" s="51"/>
      <c r="W116" s="51"/>
      <c r="X116" s="51"/>
      <c r="Y116" s="51"/>
      <c r="Z116" s="51"/>
      <c r="AA116" s="51"/>
      <c r="AB116" s="51"/>
      <c r="AC116" s="51"/>
      <c r="AD116" s="51"/>
      <c r="AE116" s="51"/>
      <c r="AF116" s="51"/>
      <c r="AG116" s="51"/>
      <c r="AH116" s="51"/>
      <c r="AI116" s="51"/>
      <c r="AJ116" s="51"/>
      <c r="AK116" s="51"/>
      <c r="AL116" s="51"/>
      <c r="AM116" s="51"/>
      <c r="AN116" s="51"/>
      <c r="AO116" s="51"/>
      <c r="AP116" s="51"/>
      <c r="AQ116" s="51"/>
      <c r="AR116" s="51"/>
      <c r="AS116" s="51"/>
      <c r="AT116" s="51"/>
      <c r="AU116" s="51"/>
      <c r="AV116" s="51"/>
      <c r="AW116" s="51"/>
      <c r="AX116" s="51"/>
      <c r="AY116" s="51"/>
      <c r="AZ116" s="51"/>
      <c r="BA116" s="51"/>
    </row>
    <row r="117" spans="1:53" ht="15.75">
      <c r="A117" s="51"/>
      <c r="B117" s="51"/>
      <c r="C117" s="51"/>
      <c r="D117" s="51"/>
      <c r="E117" s="51"/>
      <c r="F117" s="51"/>
      <c r="G117" s="51"/>
      <c r="H117" s="51"/>
      <c r="I117" s="51"/>
      <c r="J117" s="51"/>
      <c r="K117" s="51"/>
      <c r="L117" s="51"/>
      <c r="M117" s="51"/>
      <c r="N117" s="51"/>
      <c r="O117" s="51"/>
      <c r="P117" s="51"/>
      <c r="Q117" s="51"/>
      <c r="R117" s="51"/>
      <c r="S117" s="51"/>
      <c r="T117" s="51"/>
      <c r="U117" s="51"/>
      <c r="V117" s="51"/>
      <c r="W117" s="51"/>
      <c r="X117" s="51"/>
      <c r="Y117" s="51"/>
      <c r="Z117" s="51"/>
      <c r="AA117" s="51"/>
      <c r="AB117" s="51"/>
      <c r="AC117" s="51"/>
      <c r="AD117" s="51"/>
      <c r="AE117" s="51"/>
      <c r="AF117" s="51"/>
      <c r="AG117" s="51"/>
      <c r="AH117" s="51"/>
      <c r="AI117" s="51"/>
      <c r="AJ117" s="51"/>
      <c r="AK117" s="51"/>
      <c r="AL117" s="51"/>
      <c r="AM117" s="51"/>
      <c r="AN117" s="51"/>
      <c r="AO117" s="51"/>
      <c r="AP117" s="51"/>
      <c r="AQ117" s="51"/>
      <c r="AR117" s="51"/>
      <c r="AS117" s="51"/>
      <c r="AT117" s="51"/>
      <c r="AU117" s="51"/>
      <c r="AV117" s="51"/>
      <c r="AW117" s="51"/>
      <c r="AX117" s="51"/>
      <c r="AY117" s="51"/>
      <c r="AZ117" s="51"/>
      <c r="BA117" s="51"/>
    </row>
    <row r="118" spans="1:53" ht="15.75">
      <c r="A118" s="51"/>
      <c r="B118" s="51"/>
      <c r="C118" s="51"/>
      <c r="D118" s="51"/>
      <c r="E118" s="51"/>
      <c r="F118" s="51"/>
      <c r="G118" s="51"/>
      <c r="H118" s="51"/>
      <c r="I118" s="51"/>
      <c r="J118" s="51"/>
      <c r="K118" s="51"/>
      <c r="L118" s="51"/>
      <c r="M118" s="51"/>
      <c r="N118" s="51"/>
      <c r="O118" s="51"/>
      <c r="P118" s="51"/>
      <c r="Q118" s="51"/>
      <c r="R118" s="51"/>
      <c r="S118" s="51"/>
      <c r="T118" s="51"/>
      <c r="U118" s="51"/>
      <c r="V118" s="51"/>
      <c r="W118" s="51"/>
      <c r="X118" s="51"/>
      <c r="Y118" s="51"/>
      <c r="Z118" s="51"/>
      <c r="AA118" s="51"/>
      <c r="AB118" s="51"/>
      <c r="AC118" s="51"/>
      <c r="AD118" s="51"/>
      <c r="AE118" s="51"/>
      <c r="AF118" s="51"/>
      <c r="AG118" s="51"/>
      <c r="AH118" s="51"/>
      <c r="AI118" s="51"/>
      <c r="AJ118" s="51"/>
      <c r="AK118" s="51"/>
      <c r="AL118" s="51"/>
      <c r="AM118" s="51"/>
      <c r="AN118" s="51"/>
      <c r="AO118" s="51"/>
      <c r="AP118" s="51"/>
      <c r="AQ118" s="51"/>
      <c r="AR118" s="51"/>
      <c r="AS118" s="51"/>
      <c r="AT118" s="51"/>
      <c r="AU118" s="51"/>
      <c r="AV118" s="51"/>
      <c r="AW118" s="51"/>
      <c r="AX118" s="51"/>
      <c r="AY118" s="51"/>
      <c r="AZ118" s="51"/>
      <c r="BA118" s="51"/>
    </row>
    <row r="119" spans="1:53" ht="15.75">
      <c r="A119" s="51"/>
      <c r="B119" s="51"/>
      <c r="C119" s="51"/>
      <c r="D119" s="51"/>
      <c r="E119" s="51"/>
      <c r="F119" s="51"/>
      <c r="G119" s="51"/>
      <c r="H119" s="51"/>
      <c r="I119" s="51"/>
      <c r="J119" s="51"/>
      <c r="K119" s="51"/>
      <c r="L119" s="51"/>
      <c r="M119" s="51"/>
      <c r="N119" s="51"/>
      <c r="O119" s="51"/>
      <c r="P119" s="51"/>
      <c r="Q119" s="51"/>
      <c r="R119" s="51"/>
      <c r="S119" s="51"/>
      <c r="T119" s="51"/>
      <c r="U119" s="51"/>
      <c r="V119" s="51"/>
      <c r="W119" s="51"/>
      <c r="X119" s="51"/>
      <c r="Y119" s="51"/>
      <c r="Z119" s="51"/>
      <c r="AA119" s="51"/>
      <c r="AB119" s="51"/>
      <c r="AC119" s="51"/>
      <c r="AD119" s="51"/>
      <c r="AE119" s="51"/>
      <c r="AF119" s="51"/>
      <c r="AG119" s="51"/>
      <c r="AH119" s="51"/>
      <c r="AI119" s="51"/>
      <c r="AJ119" s="51"/>
      <c r="AK119" s="51"/>
      <c r="AL119" s="51"/>
      <c r="AM119" s="51"/>
      <c r="AN119" s="51"/>
      <c r="AO119" s="51"/>
      <c r="AP119" s="51"/>
      <c r="AQ119" s="51"/>
      <c r="AR119" s="51"/>
      <c r="AS119" s="51"/>
      <c r="AT119" s="51"/>
      <c r="AU119" s="51"/>
      <c r="AV119" s="51"/>
      <c r="AW119" s="51"/>
      <c r="AX119" s="51"/>
      <c r="AY119" s="51"/>
      <c r="AZ119" s="51"/>
      <c r="BA119" s="51"/>
    </row>
    <row r="120" spans="1:53" ht="15.75">
      <c r="A120" s="51"/>
      <c r="B120" s="51"/>
      <c r="C120" s="51"/>
      <c r="D120" s="51"/>
      <c r="E120" s="51"/>
      <c r="F120" s="51"/>
      <c r="G120" s="51"/>
      <c r="H120" s="51"/>
      <c r="I120" s="51"/>
      <c r="J120" s="51"/>
      <c r="K120" s="51"/>
      <c r="L120" s="51"/>
      <c r="M120" s="51"/>
      <c r="N120" s="51"/>
      <c r="O120" s="51"/>
      <c r="P120" s="51"/>
      <c r="Q120" s="51"/>
      <c r="R120" s="51"/>
      <c r="S120" s="51"/>
      <c r="T120" s="51"/>
      <c r="U120" s="51"/>
      <c r="V120" s="51"/>
      <c r="W120" s="51"/>
      <c r="X120" s="51"/>
      <c r="Y120" s="51"/>
      <c r="Z120" s="51"/>
      <c r="AA120" s="51"/>
      <c r="AB120" s="51"/>
      <c r="AC120" s="51"/>
      <c r="AD120" s="51"/>
      <c r="AE120" s="51"/>
      <c r="AF120" s="51"/>
      <c r="AG120" s="51"/>
      <c r="AH120" s="51"/>
      <c r="AI120" s="51"/>
      <c r="AJ120" s="51"/>
      <c r="AK120" s="51"/>
      <c r="AL120" s="51"/>
      <c r="AM120" s="51"/>
      <c r="AN120" s="51"/>
      <c r="AO120" s="51"/>
      <c r="AP120" s="51"/>
      <c r="AQ120" s="51"/>
      <c r="AR120" s="51"/>
      <c r="AS120" s="51"/>
      <c r="AT120" s="51"/>
      <c r="AU120" s="51"/>
      <c r="AV120" s="51"/>
      <c r="AW120" s="51"/>
      <c r="AX120" s="51"/>
      <c r="AY120" s="51"/>
      <c r="AZ120" s="51"/>
      <c r="BA120" s="51"/>
    </row>
    <row r="121" spans="1:53" ht="15.75">
      <c r="A121" s="51"/>
      <c r="B121" s="51"/>
      <c r="C121" s="51"/>
      <c r="D121" s="51"/>
      <c r="E121" s="51"/>
      <c r="F121" s="51"/>
      <c r="G121" s="51"/>
      <c r="H121" s="51"/>
      <c r="I121" s="51"/>
      <c r="J121" s="51"/>
      <c r="K121" s="51"/>
      <c r="L121" s="51"/>
      <c r="M121" s="51"/>
      <c r="N121" s="51"/>
      <c r="O121" s="51"/>
      <c r="P121" s="51"/>
      <c r="Q121" s="51"/>
      <c r="R121" s="51"/>
      <c r="S121" s="51"/>
      <c r="T121" s="51"/>
      <c r="U121" s="51"/>
      <c r="V121" s="51"/>
      <c r="W121" s="51"/>
      <c r="X121" s="51"/>
      <c r="Y121" s="51"/>
      <c r="Z121" s="51"/>
      <c r="AA121" s="51"/>
      <c r="AB121" s="51"/>
      <c r="AC121" s="51"/>
      <c r="AD121" s="51"/>
      <c r="AE121" s="51"/>
      <c r="AF121" s="51"/>
      <c r="AG121" s="51"/>
      <c r="AH121" s="51"/>
      <c r="AI121" s="51"/>
      <c r="AJ121" s="51"/>
      <c r="AK121" s="51"/>
      <c r="AL121" s="51"/>
      <c r="AM121" s="51"/>
      <c r="AN121" s="51"/>
      <c r="AO121" s="51"/>
      <c r="AP121" s="51"/>
      <c r="AQ121" s="51"/>
      <c r="AR121" s="51"/>
      <c r="AS121" s="51"/>
      <c r="AT121" s="51"/>
      <c r="AU121" s="51"/>
      <c r="AV121" s="51"/>
      <c r="AW121" s="51"/>
      <c r="AX121" s="51"/>
      <c r="AY121" s="51"/>
      <c r="AZ121" s="51"/>
      <c r="BA121" s="51"/>
    </row>
    <row r="122" spans="1:53" ht="15.75">
      <c r="A122" s="51"/>
      <c r="B122" s="51"/>
      <c r="C122" s="51"/>
      <c r="D122" s="51"/>
      <c r="E122" s="51"/>
      <c r="F122" s="51"/>
      <c r="G122" s="51"/>
      <c r="H122" s="51"/>
      <c r="I122" s="51"/>
      <c r="J122" s="51"/>
      <c r="K122" s="51"/>
      <c r="L122" s="51"/>
      <c r="M122" s="51"/>
      <c r="N122" s="51"/>
      <c r="O122" s="51"/>
      <c r="P122" s="51"/>
      <c r="Q122" s="51"/>
      <c r="R122" s="51"/>
      <c r="S122" s="51"/>
      <c r="T122" s="51"/>
      <c r="U122" s="51"/>
      <c r="V122" s="51"/>
      <c r="W122" s="51"/>
      <c r="X122" s="51"/>
      <c r="Y122" s="51"/>
      <c r="Z122" s="51"/>
      <c r="AA122" s="51"/>
      <c r="AB122" s="51"/>
      <c r="AC122" s="51"/>
      <c r="AD122" s="51"/>
      <c r="AE122" s="51"/>
      <c r="AF122" s="51"/>
      <c r="AG122" s="51"/>
      <c r="AH122" s="51"/>
      <c r="AI122" s="51"/>
      <c r="AJ122" s="51"/>
      <c r="AK122" s="51"/>
      <c r="AL122" s="51"/>
      <c r="AM122" s="51"/>
      <c r="AN122" s="51"/>
      <c r="AO122" s="51"/>
      <c r="AP122" s="51"/>
      <c r="AQ122" s="51"/>
      <c r="AR122" s="51"/>
      <c r="AS122" s="51"/>
      <c r="AT122" s="51"/>
      <c r="AU122" s="51"/>
      <c r="AV122" s="51"/>
      <c r="AW122" s="51"/>
      <c r="AX122" s="51"/>
      <c r="AY122" s="51"/>
      <c r="AZ122" s="51"/>
      <c r="BA122" s="51"/>
    </row>
  </sheetData>
  <phoneticPr fontId="8" type="noConversion"/>
  <dataValidations count="14">
    <dataValidation type="list" allowBlank="1" showInputMessage="1" sqref="AA19">
      <formula1>'[1]6735_coolers'!A2:A134</formula1>
    </dataValidation>
    <dataValidation type="list" allowBlank="1" showInputMessage="1" sqref="AE61 AE47 AE40 AE33 AE26 AE19 AE12 AE68 AI19 AU5 C5 C33 C47 C54 C61 C68 AU12 G5 G19 G26 G33 G40 G47 G54 G61 G68 AY19 AI47 AY26 K19 K33 K40 K47 K54 K61 K68 O12 O5 O19 O26 O33 O40 O47 O54 O61 O68 S12 S5 S19 S26 S33 S40 S47 S54 S61 S68 W12 W5 W19 W26 W33 W40 W47 W54 W61 W68 C40 AY47 G12 AA68 AA61 AA54 AA47 AI12 C19 AY12 AY68 C26 AY40 AU68 AQ5 AY61 AY54 AA26 AY33 K12 AE54 AY5 AM5 AM61 AM54 AM47 AM40 AM33 AM26 AM19 AM12 AM68 K5 AQ61 AQ54 AQ47 AQ40 AQ33 AQ26 AQ19 AQ12 AQ68 AI40 AU61 AU54 AU47 AU40 AU33 AU26 AU19 AI5 AI61 AI54 AI33 AI26 AI68 AA12 AA33 AA40 K26">
      <formula1>'6755_coolers'!A2:A137</formula1>
    </dataValidation>
    <dataValidation type="list" allowBlank="1" showInputMessage="1" showErrorMessage="1" sqref="AU1 C1 G1 AY1 O1 S1 W1 AI1 K1 AM1 AQ1 AA1">
      <formula1>'6755_tz'!A2:A97</formula1>
    </dataValidation>
    <dataValidation type="decimal" allowBlank="1" showInputMessage="1" showErrorMessage="1" errorTitle="Invalid" error="Must between [-1, 65535]" promptTitle="Range" prompt="between [-1, 65535]" sqref="L79:L81">
      <formula1>-1</formula1>
      <formula2>65535</formula2>
    </dataValidation>
    <dataValidation type="decimal" allowBlank="1" showInputMessage="1" showErrorMessage="1" errorTitle="Invalid" error="Must be 0 or 1" promptTitle="kernel log" prompt="0, off (default)_x000a_1, on" sqref="L78 AJ78">
      <formula1>0</formula1>
      <formula2>1</formula2>
    </dataValidation>
    <dataValidation type="decimal" allowBlank="1" showInputMessage="1" showErrorMessage="1" errorTitle="Invalid" error="Must between [-1, 65535]" promptTitle="Range" prompt="0 or between [100, 25500]" sqref="AN79:AN80 AR79:AR80 AV79:AV80 AJ79:AJ86">
      <formula1>0</formula1>
      <formula2>25500</formula2>
    </dataValidation>
    <dataValidation type="decimal" allowBlank="1" showInputMessage="1" showErrorMessage="1" errorTitle="Invalid" error="Must be 0 or 1" promptTitle="kernel log" prompt="[1, max step]" sqref="AN78 AR78 AV78">
      <formula1>1</formula1>
      <formula2>5</formula2>
    </dataValidation>
    <dataValidation type="list" allowBlank="1" showInputMessage="1" showErrorMessage="1" sqref="T77 D1 H1 T1 X1 P1 L1 X77 AJ1 AN1 AR1 H77 AF1 AZ77 L77 AB77 P77 D77 AV1 AZ1 AV77 AF77 AJ77 AN77 AR77 AB1">
      <formula1>"ENABLE,DISABLE"</formula1>
    </dataValidation>
    <dataValidation type="list" allowBlank="1" showInputMessage="1" showErrorMessage="1" sqref="AI69:AI71 AY20:AY22 AE55:AE57 AE48:AE50 AE41:AE43 AE34:AE36 AE27:AE29 AE20:AE22 AE69:AE71 AE13:AE15 AE62:AE64 AI62:AI64 AU62:AU64 O13:O15 O69:O71 O20:O22 O27:O29 O34:O36 O41:O43 O6:O8 O48:O50 O55:O57 O62:O64 C69:C71 C34:C36 C6:C8 C48:C50 C55:C57 C62:C64 S13:S15 S69:S71 S20:S22 S27:S29 S34:S36 S41:S43 S6:S8 S48:S50 S55:S57 S62:S64 K13:K15 G69:G71 G20:G22 K69:K71 G27:G29 G34:G36 G41:G43 K20:K22 K34:K36 G6:G8 G48:G50 G55:G57 K41:K43 AY6:AY8 G62:G64 K48:K50 K55:K57 K62:K64 W13:W15 W69:W71 W20:W22 W27:W29 W34:W36 W41:W43 W6:W8 W48:W50 W55:W57 W62:W64 C27:C29 AU6:AU8 AM6:AM8 G13:G15 AA55:AA57 AA48:AA50 AA34:AA36 AI13:AI15 C20:C22 AY62:AY64 AA69:AA71 AY69:AY71 AA62:AA64 AQ6:AQ8 AY55:AY57 AY48:AY50 AY41:AY43 AY13:AY15 AI48:AI50 AY34:AY36 C41:C43 AY27:AY29 AE6:AE8 AM55:AM57 AM48:AM50 AM41:AM43 AM34:AM36 AM27:AM29 AM20:AM22 AM69:AM71 AM13:AM15 AM62:AM64 K6:K8 AQ55:AQ57 AQ48:AQ50 AQ41:AQ43 AQ34:AQ36 AQ27:AQ29 AQ20:AQ22 AQ69:AQ71 AQ13:AQ15 AQ62:AQ64 AI41:AI43 AU55:AU57 AU48:AU50 AU41:AU43 AU34:AU36 AU27:AU29 AU20:AU22 AU69:AU71 AU13:AU15 AI6:AI8 AI55:AI57 AI34:AI36 AI27:AI29 AI20:AI22 AA13:AA15 AA41:AA43 AA6:AA8 AA27:AA29 K27:K29">
      <formula1>"NULL, CPU0 loading(%), Wifi usage(Kb/s), &lt; Mobile usage(Kb/s), EXIT, mtktscpu, mtktsabb, mtktspmic, mtktsbattery, mtktspa, mtktswmt, mtktsAP, mtktsbuck, mtktsbattery2, mtktsxtal"</formula1>
    </dataValidation>
    <dataValidation type="list" allowBlank="1" showInputMessage="1" showErrorMessage="1" sqref="AE1">
      <formula1>'[2]6755_tz'!A2:A97</formula1>
    </dataValidation>
    <dataValidation type="list" allowBlank="1" showInputMessage="1" sqref="AE5">
      <formula1>'[2]6755_coolers'!A2:A134</formula1>
    </dataValidation>
    <dataValidation type="list" allowBlank="1" showInputMessage="1" sqref="AA5">
      <formula1>'[3]6755_coolers'!A2:A134</formula1>
    </dataValidation>
    <dataValidation type="list" allowBlank="1" showInputMessage="1" showErrorMessage="1" sqref="C13:C15 AA20:AA22">
      <formula1>"NULL, CPU0 loading(%), Wifi usage(Kb/s), EXIT, mtktscpu, mtktsabb, mtktspmic, mtktsbattery, mtktspa, mtktswmt, mtktsAP, mtktsbuck, mtktsbattery2, mtktsxtal"</formula1>
    </dataValidation>
    <dataValidation type="list" allowBlank="1" showInputMessage="1" sqref="C12">
      <formula1>'[4]6755_coolers'!A2:A134</formula1>
    </dataValidation>
  </dataValidations>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sheetPr codeName="Sheet85">
    <tabColor rgb="FFFF0000"/>
  </sheetPr>
  <dimension ref="A1:BA122"/>
  <sheetViews>
    <sheetView zoomScale="90" zoomScaleNormal="90" workbookViewId="0">
      <selection activeCell="Q36" sqref="Q36"/>
    </sheetView>
  </sheetViews>
  <sheetFormatPr defaultRowHeight="14.2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9.140625" style="7"/>
    <col min="54" max="16384" width="9.140625" style="1"/>
  </cols>
  <sheetData>
    <row r="1" spans="1:53" ht="57.75" customHeight="1">
      <c r="A1" s="1" t="s">
        <v>182</v>
      </c>
      <c r="B1" s="2" t="s">
        <v>35</v>
      </c>
      <c r="C1" s="3" t="s">
        <v>23</v>
      </c>
      <c r="D1" s="4" t="s">
        <v>36</v>
      </c>
      <c r="E1" s="5"/>
      <c r="F1" s="2" t="s">
        <v>35</v>
      </c>
      <c r="G1" s="3" t="s">
        <v>24</v>
      </c>
      <c r="H1" s="4" t="s">
        <v>36</v>
      </c>
      <c r="I1" s="5"/>
      <c r="J1" s="2" t="s">
        <v>35</v>
      </c>
      <c r="K1" s="3" t="s">
        <v>25</v>
      </c>
      <c r="L1" s="4" t="s">
        <v>36</v>
      </c>
      <c r="M1" s="6"/>
      <c r="N1" s="2" t="s">
        <v>35</v>
      </c>
      <c r="O1" s="3" t="s">
        <v>26</v>
      </c>
      <c r="P1" s="4" t="s">
        <v>36</v>
      </c>
      <c r="Q1" s="6"/>
      <c r="R1" s="2" t="s">
        <v>35</v>
      </c>
      <c r="S1" s="3" t="s">
        <v>34</v>
      </c>
      <c r="T1" s="4" t="s">
        <v>36</v>
      </c>
      <c r="U1" s="6"/>
      <c r="V1" s="2" t="s">
        <v>35</v>
      </c>
      <c r="W1" s="3" t="s">
        <v>27</v>
      </c>
      <c r="X1" s="4" t="s">
        <v>36</v>
      </c>
      <c r="Y1" s="6"/>
      <c r="Z1" s="2" t="s">
        <v>35</v>
      </c>
      <c r="AA1" s="3" t="s">
        <v>68</v>
      </c>
      <c r="AB1" s="4" t="s">
        <v>36</v>
      </c>
      <c r="AC1" s="6"/>
      <c r="AD1" s="2" t="s">
        <v>35</v>
      </c>
      <c r="AE1" s="3" t="s">
        <v>69</v>
      </c>
      <c r="AF1" s="4" t="s">
        <v>36</v>
      </c>
      <c r="AG1" s="6"/>
      <c r="AH1" s="2" t="s">
        <v>35</v>
      </c>
      <c r="AI1" s="3" t="s">
        <v>132</v>
      </c>
      <c r="AJ1" s="4" t="s">
        <v>36</v>
      </c>
      <c r="AK1" s="6"/>
      <c r="AL1" s="2" t="s">
        <v>35</v>
      </c>
      <c r="AM1" s="3" t="s">
        <v>128</v>
      </c>
      <c r="AN1" s="4" t="s">
        <v>36</v>
      </c>
      <c r="AO1" s="6"/>
      <c r="AP1" s="2" t="s">
        <v>35</v>
      </c>
      <c r="AQ1" s="3" t="s">
        <v>233</v>
      </c>
      <c r="AR1" s="4" t="s">
        <v>36</v>
      </c>
      <c r="AS1" s="6"/>
      <c r="AT1" s="2" t="s">
        <v>35</v>
      </c>
      <c r="AU1" s="3" t="s">
        <v>234</v>
      </c>
      <c r="AV1" s="4" t="s">
        <v>36</v>
      </c>
      <c r="AW1" s="6"/>
      <c r="AX1" s="2" t="s">
        <v>35</v>
      </c>
      <c r="AY1" s="3" t="s">
        <v>129</v>
      </c>
      <c r="AZ1" s="4" t="s">
        <v>36</v>
      </c>
      <c r="BA1" s="51"/>
    </row>
    <row r="2" spans="1:53" ht="30.75" customHeight="1">
      <c r="B2" s="2" t="s">
        <v>9</v>
      </c>
      <c r="C2" s="3">
        <v>2</v>
      </c>
      <c r="D2" s="8"/>
      <c r="E2" s="9"/>
      <c r="F2" s="2" t="s">
        <v>9</v>
      </c>
      <c r="G2" s="3">
        <v>1</v>
      </c>
      <c r="H2" s="8"/>
      <c r="I2" s="10"/>
      <c r="J2" s="2" t="s">
        <v>9</v>
      </c>
      <c r="K2" s="3">
        <v>1</v>
      </c>
      <c r="L2" s="8"/>
      <c r="M2" s="10"/>
      <c r="N2" s="2" t="s">
        <v>9</v>
      </c>
      <c r="O2" s="3">
        <v>1</v>
      </c>
      <c r="P2" s="8"/>
      <c r="Q2" s="10"/>
      <c r="R2" s="2" t="s">
        <v>9</v>
      </c>
      <c r="S2" s="3">
        <v>1</v>
      </c>
      <c r="T2" s="8"/>
      <c r="U2" s="10"/>
      <c r="V2" s="2" t="s">
        <v>9</v>
      </c>
      <c r="W2" s="3">
        <v>1</v>
      </c>
      <c r="X2" s="8"/>
      <c r="Y2" s="10"/>
      <c r="Z2" s="2" t="s">
        <v>9</v>
      </c>
      <c r="AA2" s="3">
        <v>6</v>
      </c>
      <c r="AB2" s="8"/>
      <c r="AC2" s="10"/>
      <c r="AD2" s="2" t="s">
        <v>9</v>
      </c>
      <c r="AE2" s="3">
        <v>1</v>
      </c>
      <c r="AF2" s="8"/>
      <c r="AG2" s="10"/>
      <c r="AH2" s="2" t="s">
        <v>9</v>
      </c>
      <c r="AI2" s="3">
        <v>7</v>
      </c>
      <c r="AJ2" s="46"/>
      <c r="AK2" s="10"/>
      <c r="AL2" s="2" t="s">
        <v>9</v>
      </c>
      <c r="AM2" s="3">
        <v>0</v>
      </c>
      <c r="AN2" s="8"/>
      <c r="AO2" s="10"/>
      <c r="AP2" s="2" t="s">
        <v>9</v>
      </c>
      <c r="AQ2" s="3">
        <v>0</v>
      </c>
      <c r="AR2" s="8"/>
      <c r="AS2" s="10"/>
      <c r="AT2" s="2" t="s">
        <v>9</v>
      </c>
      <c r="AU2" s="3">
        <v>0</v>
      </c>
      <c r="AV2" s="8"/>
      <c r="AW2" s="10"/>
      <c r="AX2" s="2" t="s">
        <v>9</v>
      </c>
      <c r="AY2" s="3">
        <v>0</v>
      </c>
      <c r="AZ2" s="8"/>
      <c r="BA2" s="51"/>
    </row>
    <row r="3" spans="1:53" ht="15" customHeight="1">
      <c r="A3" s="11"/>
      <c r="B3" s="12" t="s">
        <v>7</v>
      </c>
      <c r="C3" s="13">
        <v>117000</v>
      </c>
      <c r="D3" s="14"/>
      <c r="E3" s="9"/>
      <c r="F3" s="12" t="s">
        <v>7</v>
      </c>
      <c r="G3" s="13">
        <v>145000</v>
      </c>
      <c r="H3" s="14"/>
      <c r="I3" s="10"/>
      <c r="J3" s="12" t="s">
        <v>7</v>
      </c>
      <c r="K3" s="13">
        <v>60000</v>
      </c>
      <c r="L3" s="14"/>
      <c r="M3" s="10"/>
      <c r="N3" s="12" t="s">
        <v>7</v>
      </c>
      <c r="O3" s="13">
        <v>120000</v>
      </c>
      <c r="P3" s="14"/>
      <c r="Q3" s="10"/>
      <c r="R3" s="12" t="s">
        <v>7</v>
      </c>
      <c r="S3" s="13">
        <v>117000</v>
      </c>
      <c r="T3" s="14"/>
      <c r="U3" s="10"/>
      <c r="V3" s="12" t="s">
        <v>7</v>
      </c>
      <c r="W3" s="13">
        <v>120000</v>
      </c>
      <c r="X3" s="14"/>
      <c r="Y3" s="10"/>
      <c r="Z3" s="12" t="s">
        <v>7</v>
      </c>
      <c r="AA3" s="13">
        <v>100000</v>
      </c>
      <c r="AB3" s="14"/>
      <c r="AC3" s="10"/>
      <c r="AD3" s="12" t="s">
        <v>7</v>
      </c>
      <c r="AE3" s="13">
        <v>120000</v>
      </c>
      <c r="AF3" s="14"/>
      <c r="AG3" s="10"/>
      <c r="AH3" s="12" t="s">
        <v>7</v>
      </c>
      <c r="AI3" s="13">
        <v>120000</v>
      </c>
      <c r="AJ3" s="43"/>
      <c r="AK3" s="10"/>
      <c r="AL3" s="12" t="s">
        <v>7</v>
      </c>
      <c r="AM3" s="13">
        <v>0</v>
      </c>
      <c r="AN3" s="14"/>
      <c r="AO3" s="10"/>
      <c r="AP3" s="12" t="s">
        <v>7</v>
      </c>
      <c r="AQ3" s="13">
        <v>0</v>
      </c>
      <c r="AR3" s="14"/>
      <c r="AS3" s="10"/>
      <c r="AT3" s="12" t="s">
        <v>7</v>
      </c>
      <c r="AU3" s="13">
        <v>0</v>
      </c>
      <c r="AV3" s="14"/>
      <c r="AW3" s="10"/>
      <c r="AX3" s="12" t="s">
        <v>7</v>
      </c>
      <c r="AY3" s="13">
        <v>0</v>
      </c>
      <c r="AZ3" s="14"/>
      <c r="BA3" s="51"/>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15">
        <v>0</v>
      </c>
      <c r="AJ4" s="43"/>
      <c r="AK4" s="10"/>
      <c r="AL4" s="12" t="s">
        <v>6</v>
      </c>
      <c r="AM4" s="15">
        <v>0</v>
      </c>
      <c r="AN4" s="14"/>
      <c r="AO4" s="10"/>
      <c r="AP4" s="12" t="s">
        <v>6</v>
      </c>
      <c r="AQ4" s="15">
        <v>0</v>
      </c>
      <c r="AR4" s="14"/>
      <c r="AS4" s="10"/>
      <c r="AT4" s="12" t="s">
        <v>6</v>
      </c>
      <c r="AU4" s="15">
        <v>0</v>
      </c>
      <c r="AV4" s="14"/>
      <c r="AW4" s="10"/>
      <c r="AX4" s="12" t="s">
        <v>6</v>
      </c>
      <c r="AY4" s="15">
        <v>0</v>
      </c>
      <c r="AZ4" s="14"/>
      <c r="BA4" s="51"/>
    </row>
    <row r="5" spans="1:53" ht="15" customHeight="1">
      <c r="A5" s="11"/>
      <c r="B5" s="12" t="s">
        <v>5</v>
      </c>
      <c r="C5" s="13" t="s">
        <v>15</v>
      </c>
      <c r="D5" s="14"/>
      <c r="E5" s="9"/>
      <c r="F5" s="12" t="s">
        <v>5</v>
      </c>
      <c r="G5" s="13" t="s">
        <v>1</v>
      </c>
      <c r="H5" s="14"/>
      <c r="I5" s="10"/>
      <c r="J5" s="12" t="s">
        <v>5</v>
      </c>
      <c r="K5" s="13" t="s">
        <v>2</v>
      </c>
      <c r="L5" s="14"/>
      <c r="M5" s="10"/>
      <c r="N5" s="12" t="s">
        <v>5</v>
      </c>
      <c r="O5" s="13" t="s">
        <v>3</v>
      </c>
      <c r="P5" s="14"/>
      <c r="Q5" s="10"/>
      <c r="R5" s="12" t="s">
        <v>5</v>
      </c>
      <c r="S5" s="13" t="s">
        <v>0</v>
      </c>
      <c r="T5" s="14"/>
      <c r="U5" s="10"/>
      <c r="V5" s="12" t="s">
        <v>5</v>
      </c>
      <c r="W5" s="13" t="s">
        <v>16</v>
      </c>
      <c r="X5" s="14"/>
      <c r="Y5" s="10"/>
      <c r="Z5" s="12" t="s">
        <v>5</v>
      </c>
      <c r="AA5" s="13" t="s">
        <v>17</v>
      </c>
      <c r="AB5" s="14"/>
      <c r="AC5" s="10"/>
      <c r="AD5" s="12" t="s">
        <v>5</v>
      </c>
      <c r="AE5" s="13" t="s">
        <v>108</v>
      </c>
      <c r="AF5" s="14"/>
      <c r="AG5" s="10"/>
      <c r="AH5" s="12" t="s">
        <v>5</v>
      </c>
      <c r="AI5" s="13" t="s">
        <v>108</v>
      </c>
      <c r="AJ5" s="43"/>
      <c r="AK5" s="10"/>
      <c r="AL5" s="12" t="s">
        <v>5</v>
      </c>
      <c r="AM5" s="13" t="s">
        <v>4</v>
      </c>
      <c r="AN5" s="14"/>
      <c r="AO5" s="10"/>
      <c r="AP5" s="12" t="s">
        <v>5</v>
      </c>
      <c r="AQ5" s="13" t="s">
        <v>4</v>
      </c>
      <c r="AR5" s="14"/>
      <c r="AS5" s="10"/>
      <c r="AT5" s="12" t="s">
        <v>5</v>
      </c>
      <c r="AU5" s="13" t="s">
        <v>4</v>
      </c>
      <c r="AV5" s="14"/>
      <c r="AW5" s="10"/>
      <c r="AX5" s="12" t="s">
        <v>5</v>
      </c>
      <c r="AY5" s="13" t="s">
        <v>4</v>
      </c>
      <c r="AZ5" s="14"/>
      <c r="BA5" s="51"/>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4">
        <v>0</v>
      </c>
      <c r="AG6" s="10"/>
      <c r="AH6" s="12" t="s">
        <v>11</v>
      </c>
      <c r="AI6" s="15" t="s">
        <v>13</v>
      </c>
      <c r="AJ6" s="15">
        <v>0</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s="51"/>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s="51"/>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s="51"/>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s="51"/>
    </row>
    <row r="10" spans="1:53" ht="15" customHeight="1">
      <c r="A10" s="11"/>
      <c r="B10" s="12" t="s">
        <v>7</v>
      </c>
      <c r="C10" s="44">
        <v>68000</v>
      </c>
      <c r="D10" s="14"/>
      <c r="E10" s="10"/>
      <c r="F10" s="12" t="s">
        <v>7</v>
      </c>
      <c r="G10" s="13">
        <v>0</v>
      </c>
      <c r="H10" s="14"/>
      <c r="I10" s="10"/>
      <c r="J10" s="12" t="s">
        <v>7</v>
      </c>
      <c r="K10" s="13">
        <v>0</v>
      </c>
      <c r="L10" s="14"/>
      <c r="M10" s="10"/>
      <c r="N10" s="12" t="s">
        <v>7</v>
      </c>
      <c r="O10" s="13">
        <v>0</v>
      </c>
      <c r="P10" s="14"/>
      <c r="Q10" s="10"/>
      <c r="R10" s="12" t="s">
        <v>7</v>
      </c>
      <c r="S10" s="13">
        <v>0</v>
      </c>
      <c r="T10" s="14"/>
      <c r="U10" s="10"/>
      <c r="V10" s="12" t="s">
        <v>7</v>
      </c>
      <c r="W10" s="13">
        <v>0</v>
      </c>
      <c r="X10" s="14"/>
      <c r="Y10" s="10"/>
      <c r="Z10" s="12" t="s">
        <v>7</v>
      </c>
      <c r="AA10" s="50">
        <v>90000</v>
      </c>
      <c r="AB10" s="14"/>
      <c r="AC10" s="10"/>
      <c r="AD10" s="12" t="s">
        <v>7</v>
      </c>
      <c r="AE10" s="13">
        <v>0</v>
      </c>
      <c r="AF10" s="14"/>
      <c r="AG10" s="10"/>
      <c r="AH10" s="12" t="s">
        <v>7</v>
      </c>
      <c r="AI10" s="44">
        <v>85000</v>
      </c>
      <c r="AJ10" s="14"/>
      <c r="AK10" s="10"/>
      <c r="AL10" s="12" t="s">
        <v>7</v>
      </c>
      <c r="AM10" s="13">
        <v>0</v>
      </c>
      <c r="AN10" s="14"/>
      <c r="AO10" s="10"/>
      <c r="AP10" s="12" t="s">
        <v>7</v>
      </c>
      <c r="AQ10" s="13">
        <v>0</v>
      </c>
      <c r="AR10" s="14"/>
      <c r="AS10" s="10"/>
      <c r="AT10" s="12" t="s">
        <v>7</v>
      </c>
      <c r="AU10" s="13">
        <v>0</v>
      </c>
      <c r="AV10" s="14"/>
      <c r="AW10" s="10"/>
      <c r="AX10" s="12" t="s">
        <v>7</v>
      </c>
      <c r="AY10" s="13">
        <v>0</v>
      </c>
      <c r="AZ10" s="14"/>
      <c r="BA10" s="51"/>
    </row>
    <row r="11" spans="1:53" ht="15" customHeight="1">
      <c r="A11" s="11"/>
      <c r="B11" s="12" t="s">
        <v>6</v>
      </c>
      <c r="C11" s="15">
        <v>0</v>
      </c>
      <c r="D11" s="14"/>
      <c r="E11" s="10"/>
      <c r="F11" s="12" t="s">
        <v>6</v>
      </c>
      <c r="G11" s="15">
        <v>0</v>
      </c>
      <c r="H11" s="14"/>
      <c r="I11" s="10"/>
      <c r="J11" s="12" t="s">
        <v>6</v>
      </c>
      <c r="K11" s="15">
        <v>0</v>
      </c>
      <c r="L11" s="14"/>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15">
        <v>0</v>
      </c>
      <c r="AJ11" s="14"/>
      <c r="AK11" s="10"/>
      <c r="AL11" s="12" t="s">
        <v>6</v>
      </c>
      <c r="AM11" s="15">
        <v>0</v>
      </c>
      <c r="AN11" s="14"/>
      <c r="AO11" s="10"/>
      <c r="AP11" s="12" t="s">
        <v>6</v>
      </c>
      <c r="AQ11" s="15">
        <v>0</v>
      </c>
      <c r="AR11" s="14"/>
      <c r="AS11" s="10"/>
      <c r="AT11" s="12" t="s">
        <v>6</v>
      </c>
      <c r="AU11" s="15">
        <v>0</v>
      </c>
      <c r="AV11" s="14"/>
      <c r="AW11" s="10"/>
      <c r="AX11" s="12" t="s">
        <v>6</v>
      </c>
      <c r="AY11" s="15">
        <v>0</v>
      </c>
      <c r="AZ11" s="14"/>
      <c r="BA11" s="51"/>
    </row>
    <row r="12" spans="1:53" ht="15" customHeight="1">
      <c r="A12" s="11"/>
      <c r="B12" s="12" t="s">
        <v>5</v>
      </c>
      <c r="C12" s="13" t="s">
        <v>51</v>
      </c>
      <c r="D12" s="14"/>
      <c r="E12" s="10"/>
      <c r="F12" s="12" t="s">
        <v>5</v>
      </c>
      <c r="G12" s="13" t="s">
        <v>4</v>
      </c>
      <c r="H12" s="14"/>
      <c r="I12" s="10"/>
      <c r="J12" s="12" t="s">
        <v>5</v>
      </c>
      <c r="K12" s="13" t="s">
        <v>4</v>
      </c>
      <c r="L12" s="14"/>
      <c r="M12" s="10"/>
      <c r="N12" s="12" t="s">
        <v>5</v>
      </c>
      <c r="O12" s="13" t="s">
        <v>4</v>
      </c>
      <c r="P12" s="14"/>
      <c r="Q12" s="10"/>
      <c r="R12" s="12" t="s">
        <v>5</v>
      </c>
      <c r="S12" s="13" t="s">
        <v>4</v>
      </c>
      <c r="T12" s="14"/>
      <c r="U12" s="10"/>
      <c r="V12" s="12" t="s">
        <v>5</v>
      </c>
      <c r="W12" s="13" t="s">
        <v>4</v>
      </c>
      <c r="X12" s="14"/>
      <c r="Y12" s="10"/>
      <c r="Z12" s="12" t="s">
        <v>5</v>
      </c>
      <c r="AA12" s="50" t="s">
        <v>107</v>
      </c>
      <c r="AB12" s="14"/>
      <c r="AC12" s="10"/>
      <c r="AD12" s="12" t="s">
        <v>5</v>
      </c>
      <c r="AE12" s="13" t="s">
        <v>4</v>
      </c>
      <c r="AF12" s="14"/>
      <c r="AG12" s="10"/>
      <c r="AH12" s="12" t="s">
        <v>5</v>
      </c>
      <c r="AI12" s="54" t="s">
        <v>253</v>
      </c>
      <c r="AJ12" s="14"/>
      <c r="AK12" s="10"/>
      <c r="AL12" s="12" t="s">
        <v>5</v>
      </c>
      <c r="AM12" s="13" t="s">
        <v>4</v>
      </c>
      <c r="AN12" s="14"/>
      <c r="AO12" s="10"/>
      <c r="AP12" s="12" t="s">
        <v>5</v>
      </c>
      <c r="AQ12" s="13" t="s">
        <v>4</v>
      </c>
      <c r="AR12" s="14"/>
      <c r="AS12" s="10"/>
      <c r="AT12" s="12" t="s">
        <v>5</v>
      </c>
      <c r="AU12" s="13" t="s">
        <v>4</v>
      </c>
      <c r="AV12" s="14"/>
      <c r="AW12" s="10"/>
      <c r="AX12" s="12" t="s">
        <v>5</v>
      </c>
      <c r="AY12" s="13" t="s">
        <v>4</v>
      </c>
      <c r="AZ12" s="14"/>
      <c r="BA12" s="51"/>
    </row>
    <row r="13" spans="1:53" ht="15" customHeight="1">
      <c r="A13" s="11"/>
      <c r="B13" s="12" t="s">
        <v>11</v>
      </c>
      <c r="C13" s="15" t="s">
        <v>131</v>
      </c>
      <c r="D13" s="14">
        <v>6000</v>
      </c>
      <c r="E13" s="9"/>
      <c r="F13" s="12" t="s">
        <v>11</v>
      </c>
      <c r="G13" s="15" t="s">
        <v>13</v>
      </c>
      <c r="H13" s="14">
        <v>0</v>
      </c>
      <c r="I13" s="10"/>
      <c r="J13" s="12" t="s">
        <v>11</v>
      </c>
      <c r="K13" s="15" t="s">
        <v>13</v>
      </c>
      <c r="L13" s="14">
        <v>0</v>
      </c>
      <c r="M13" s="10"/>
      <c r="N13" s="12" t="s">
        <v>11</v>
      </c>
      <c r="O13" s="15" t="s">
        <v>13</v>
      </c>
      <c r="P13" s="14">
        <v>0</v>
      </c>
      <c r="Q13" s="10"/>
      <c r="R13" s="12" t="s">
        <v>11</v>
      </c>
      <c r="S13" s="15" t="s">
        <v>13</v>
      </c>
      <c r="T13" s="14">
        <v>0</v>
      </c>
      <c r="U13" s="10"/>
      <c r="V13" s="12" t="s">
        <v>11</v>
      </c>
      <c r="W13" s="15" t="s">
        <v>13</v>
      </c>
      <c r="X13" s="14">
        <v>0</v>
      </c>
      <c r="Y13" s="10"/>
      <c r="Z13" s="12" t="s">
        <v>11</v>
      </c>
      <c r="AA13" s="15" t="s">
        <v>13</v>
      </c>
      <c r="AB13" s="14">
        <v>0</v>
      </c>
      <c r="AC13" s="10"/>
      <c r="AD13" s="12" t="s">
        <v>11</v>
      </c>
      <c r="AE13" s="15" t="s">
        <v>13</v>
      </c>
      <c r="AF13" s="14">
        <v>0</v>
      </c>
      <c r="AG13" s="10"/>
      <c r="AH13" s="12" t="s">
        <v>11</v>
      </c>
      <c r="AI13" s="54" t="s">
        <v>131</v>
      </c>
      <c r="AJ13" s="55">
        <v>2000</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s="51"/>
    </row>
    <row r="14" spans="1:53" ht="15" customHeight="1">
      <c r="A14" s="11"/>
      <c r="B14" s="12" t="s">
        <v>12</v>
      </c>
      <c r="C14" s="15" t="s">
        <v>13</v>
      </c>
      <c r="D14" s="14">
        <v>0</v>
      </c>
      <c r="E14" s="9"/>
      <c r="F14" s="12" t="s">
        <v>12</v>
      </c>
      <c r="G14" s="15" t="s">
        <v>13</v>
      </c>
      <c r="H14" s="14">
        <v>0</v>
      </c>
      <c r="I14" s="10"/>
      <c r="J14" s="12" t="s">
        <v>12</v>
      </c>
      <c r="K14" s="15" t="s">
        <v>13</v>
      </c>
      <c r="L14" s="14">
        <v>0</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6">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s="51"/>
    </row>
    <row r="15" spans="1:53" ht="15" customHeight="1">
      <c r="A15" s="11"/>
      <c r="B15" s="12" t="s">
        <v>14</v>
      </c>
      <c r="C15" s="15" t="s">
        <v>13</v>
      </c>
      <c r="D15" s="14">
        <v>0</v>
      </c>
      <c r="E15" s="9"/>
      <c r="F15" s="12" t="s">
        <v>14</v>
      </c>
      <c r="G15" s="15" t="s">
        <v>13</v>
      </c>
      <c r="H15" s="14">
        <v>0</v>
      </c>
      <c r="I15" s="10"/>
      <c r="J15" s="12" t="s">
        <v>14</v>
      </c>
      <c r="K15" s="15" t="s">
        <v>13</v>
      </c>
      <c r="L15" s="14">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s="51"/>
    </row>
    <row r="16" spans="1:53" s="20" customFormat="1" ht="5.0999999999999996" customHeight="1">
      <c r="A16" s="17"/>
      <c r="B16" s="18"/>
      <c r="C16" s="18"/>
      <c r="D16" s="18"/>
      <c r="E16" s="19"/>
      <c r="F16" s="18"/>
      <c r="G16" s="18"/>
      <c r="H16" s="18"/>
      <c r="I16" s="19"/>
      <c r="J16" s="18"/>
      <c r="K16" s="56"/>
      <c r="L16" s="56"/>
      <c r="M16" s="19"/>
      <c r="N16" s="18"/>
      <c r="O16" s="18"/>
      <c r="P16" s="18"/>
      <c r="Q16" s="19"/>
      <c r="R16" s="18"/>
      <c r="S16" s="18"/>
      <c r="T16" s="18"/>
      <c r="U16" s="19"/>
      <c r="V16" s="18"/>
      <c r="W16" s="18"/>
      <c r="X16" s="18"/>
      <c r="Y16" s="19"/>
      <c r="Z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s="51"/>
    </row>
    <row r="17" spans="1:53" ht="15" customHeight="1">
      <c r="A17" s="11"/>
      <c r="B17" s="12" t="s">
        <v>7</v>
      </c>
      <c r="C17" s="13">
        <v>0</v>
      </c>
      <c r="D17" s="14"/>
      <c r="E17" s="10"/>
      <c r="F17" s="12" t="s">
        <v>7</v>
      </c>
      <c r="G17" s="13">
        <v>0</v>
      </c>
      <c r="H17" s="14"/>
      <c r="I17" s="10"/>
      <c r="J17" s="12" t="s">
        <v>7</v>
      </c>
      <c r="K17" s="13">
        <v>0</v>
      </c>
      <c r="L17" s="14"/>
      <c r="M17" s="10"/>
      <c r="N17" s="12" t="s">
        <v>7</v>
      </c>
      <c r="O17" s="13">
        <v>0</v>
      </c>
      <c r="P17" s="14"/>
      <c r="Q17" s="10"/>
      <c r="R17" s="12" t="s">
        <v>7</v>
      </c>
      <c r="S17" s="13">
        <v>0</v>
      </c>
      <c r="T17" s="14"/>
      <c r="U17" s="10"/>
      <c r="V17" s="12" t="s">
        <v>7</v>
      </c>
      <c r="W17" s="13">
        <v>0</v>
      </c>
      <c r="X17" s="14"/>
      <c r="Y17" s="10"/>
      <c r="Z17" s="12" t="s">
        <v>7</v>
      </c>
      <c r="AA17" s="58">
        <v>57000</v>
      </c>
      <c r="AB17" s="14"/>
      <c r="AC17" s="10"/>
      <c r="AD17" s="12" t="s">
        <v>7</v>
      </c>
      <c r="AE17" s="13">
        <v>0</v>
      </c>
      <c r="AF17" s="14"/>
      <c r="AG17" s="10"/>
      <c r="AH17" s="12" t="s">
        <v>7</v>
      </c>
      <c r="AI17" s="54">
        <v>75000</v>
      </c>
      <c r="AJ17" s="14"/>
      <c r="AK17" s="10"/>
      <c r="AL17" s="12" t="s">
        <v>7</v>
      </c>
      <c r="AM17" s="13">
        <v>0</v>
      </c>
      <c r="AN17" s="14"/>
      <c r="AO17" s="10"/>
      <c r="AP17" s="12" t="s">
        <v>7</v>
      </c>
      <c r="AQ17" s="13">
        <v>0</v>
      </c>
      <c r="AR17" s="14"/>
      <c r="AS17" s="10"/>
      <c r="AT17" s="12" t="s">
        <v>7</v>
      </c>
      <c r="AU17" s="13">
        <v>0</v>
      </c>
      <c r="AV17" s="14"/>
      <c r="AW17" s="10"/>
      <c r="AX17" s="12" t="s">
        <v>7</v>
      </c>
      <c r="AY17" s="13">
        <v>0</v>
      </c>
      <c r="AZ17" s="14"/>
      <c r="BA17" s="51"/>
    </row>
    <row r="18" spans="1:53" ht="15" customHeight="1">
      <c r="A18" s="11"/>
      <c r="B18" s="12" t="s">
        <v>6</v>
      </c>
      <c r="C18" s="15">
        <v>0</v>
      </c>
      <c r="D18" s="14"/>
      <c r="E18" s="10"/>
      <c r="F18" s="12" t="s">
        <v>6</v>
      </c>
      <c r="G18" s="15">
        <v>0</v>
      </c>
      <c r="H18" s="14"/>
      <c r="I18" s="10"/>
      <c r="J18" s="12" t="s">
        <v>6</v>
      </c>
      <c r="K18" s="15">
        <v>0</v>
      </c>
      <c r="L18" s="14"/>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15">
        <v>0</v>
      </c>
      <c r="AJ18" s="14"/>
      <c r="AK18" s="10"/>
      <c r="AL18" s="12" t="s">
        <v>6</v>
      </c>
      <c r="AM18" s="15">
        <v>0</v>
      </c>
      <c r="AN18" s="14"/>
      <c r="AO18" s="10"/>
      <c r="AP18" s="12" t="s">
        <v>6</v>
      </c>
      <c r="AQ18" s="15">
        <v>0</v>
      </c>
      <c r="AR18" s="14"/>
      <c r="AS18" s="10"/>
      <c r="AT18" s="12" t="s">
        <v>6</v>
      </c>
      <c r="AU18" s="15">
        <v>0</v>
      </c>
      <c r="AV18" s="14"/>
      <c r="AW18" s="10"/>
      <c r="AX18" s="12" t="s">
        <v>6</v>
      </c>
      <c r="AY18" s="15">
        <v>0</v>
      </c>
      <c r="AZ18" s="14"/>
      <c r="BA18" s="51"/>
    </row>
    <row r="19" spans="1:53" ht="15" customHeight="1">
      <c r="A19" s="11"/>
      <c r="B19" s="12" t="s">
        <v>5</v>
      </c>
      <c r="C19" s="13" t="s">
        <v>4</v>
      </c>
      <c r="D19" s="14"/>
      <c r="E19" s="10"/>
      <c r="F19" s="12" t="s">
        <v>5</v>
      </c>
      <c r="G19" s="13" t="s">
        <v>4</v>
      </c>
      <c r="H19" s="14"/>
      <c r="I19" s="10"/>
      <c r="J19" s="12" t="s">
        <v>5</v>
      </c>
      <c r="K19" s="13" t="s">
        <v>4</v>
      </c>
      <c r="L19" s="14"/>
      <c r="M19" s="10"/>
      <c r="N19" s="12" t="s">
        <v>5</v>
      </c>
      <c r="O19" s="13" t="s">
        <v>4</v>
      </c>
      <c r="P19" s="14"/>
      <c r="Q19" s="10"/>
      <c r="R19" s="12" t="s">
        <v>5</v>
      </c>
      <c r="S19" s="13" t="s">
        <v>4</v>
      </c>
      <c r="T19" s="14"/>
      <c r="U19" s="10"/>
      <c r="V19" s="12" t="s">
        <v>5</v>
      </c>
      <c r="W19" s="13" t="s">
        <v>4</v>
      </c>
      <c r="X19" s="14"/>
      <c r="Y19" s="10"/>
      <c r="Z19" s="12" t="s">
        <v>5</v>
      </c>
      <c r="AA19" s="58" t="s">
        <v>265</v>
      </c>
      <c r="AB19" s="14"/>
      <c r="AC19" s="10"/>
      <c r="AD19" s="12" t="s">
        <v>5</v>
      </c>
      <c r="AE19" s="13" t="s">
        <v>4</v>
      </c>
      <c r="AF19" s="14"/>
      <c r="AG19" s="10"/>
      <c r="AH19" s="12" t="s">
        <v>5</v>
      </c>
      <c r="AI19" s="54" t="s">
        <v>251</v>
      </c>
      <c r="AJ19" s="14"/>
      <c r="AK19" s="10"/>
      <c r="AL19" s="12" t="s">
        <v>5</v>
      </c>
      <c r="AM19" s="13" t="s">
        <v>4</v>
      </c>
      <c r="AN19" s="14"/>
      <c r="AO19" s="10"/>
      <c r="AP19" s="12" t="s">
        <v>5</v>
      </c>
      <c r="AQ19" s="13" t="s">
        <v>4</v>
      </c>
      <c r="AR19" s="14"/>
      <c r="AS19" s="10"/>
      <c r="AT19" s="12" t="s">
        <v>5</v>
      </c>
      <c r="AU19" s="13" t="s">
        <v>4</v>
      </c>
      <c r="AV19" s="14"/>
      <c r="AW19" s="10"/>
      <c r="AX19" s="12" t="s">
        <v>5</v>
      </c>
      <c r="AY19" s="13" t="s">
        <v>4</v>
      </c>
      <c r="AZ19" s="14"/>
      <c r="BA19" s="51"/>
    </row>
    <row r="20" spans="1:53" ht="15" customHeight="1">
      <c r="A20" s="11"/>
      <c r="B20" s="12" t="s">
        <v>11</v>
      </c>
      <c r="C20" s="15" t="s">
        <v>13</v>
      </c>
      <c r="D20" s="43">
        <v>0</v>
      </c>
      <c r="E20" s="9"/>
      <c r="F20" s="12" t="s">
        <v>11</v>
      </c>
      <c r="G20" s="15" t="s">
        <v>13</v>
      </c>
      <c r="H20" s="14">
        <v>0</v>
      </c>
      <c r="I20" s="10"/>
      <c r="J20" s="12" t="s">
        <v>11</v>
      </c>
      <c r="K20" s="15" t="s">
        <v>13</v>
      </c>
      <c r="L20" s="14">
        <v>0</v>
      </c>
      <c r="M20" s="10"/>
      <c r="N20" s="12" t="s">
        <v>11</v>
      </c>
      <c r="O20" s="15" t="s">
        <v>13</v>
      </c>
      <c r="P20" s="14">
        <v>0</v>
      </c>
      <c r="Q20" s="10"/>
      <c r="R20" s="12" t="s">
        <v>11</v>
      </c>
      <c r="S20" s="15" t="s">
        <v>13</v>
      </c>
      <c r="T20" s="14">
        <v>0</v>
      </c>
      <c r="U20" s="10"/>
      <c r="V20" s="12" t="s">
        <v>11</v>
      </c>
      <c r="W20" s="15" t="s">
        <v>13</v>
      </c>
      <c r="X20" s="14">
        <v>0</v>
      </c>
      <c r="Y20" s="10"/>
      <c r="Z20" s="12" t="s">
        <v>11</v>
      </c>
      <c r="AA20" s="59" t="s">
        <v>131</v>
      </c>
      <c r="AB20" s="60">
        <v>5000</v>
      </c>
      <c r="AC20" s="10"/>
      <c r="AD20" s="12" t="s">
        <v>11</v>
      </c>
      <c r="AE20" s="15" t="s">
        <v>13</v>
      </c>
      <c r="AF20" s="14">
        <v>0</v>
      </c>
      <c r="AG20" s="10"/>
      <c r="AH20" s="12" t="s">
        <v>11</v>
      </c>
      <c r="AI20" s="54" t="s">
        <v>131</v>
      </c>
      <c r="AJ20" s="55">
        <v>2000</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s="51"/>
    </row>
    <row r="21" spans="1:53" ht="15" customHeight="1">
      <c r="A21" s="11"/>
      <c r="B21" s="12" t="s">
        <v>12</v>
      </c>
      <c r="C21" s="15" t="s">
        <v>13</v>
      </c>
      <c r="D21" s="14">
        <v>0</v>
      </c>
      <c r="E21" s="9"/>
      <c r="F21" s="12" t="s">
        <v>12</v>
      </c>
      <c r="G21" s="15" t="s">
        <v>13</v>
      </c>
      <c r="H21" s="14">
        <v>0</v>
      </c>
      <c r="I21" s="10"/>
      <c r="J21" s="12" t="s">
        <v>12</v>
      </c>
      <c r="K21" s="15" t="s">
        <v>13</v>
      </c>
      <c r="L21" s="14">
        <v>0</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15" t="s">
        <v>13</v>
      </c>
      <c r="AJ21" s="55">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s="51"/>
    </row>
    <row r="22" spans="1:53" ht="15" customHeight="1">
      <c r="A22" s="11"/>
      <c r="B22" s="12" t="s">
        <v>14</v>
      </c>
      <c r="C22" s="15" t="s">
        <v>13</v>
      </c>
      <c r="D22" s="14">
        <v>0</v>
      </c>
      <c r="E22" s="9"/>
      <c r="F22" s="12" t="s">
        <v>14</v>
      </c>
      <c r="G22" s="15" t="s">
        <v>13</v>
      </c>
      <c r="H22" s="14">
        <v>0</v>
      </c>
      <c r="I22" s="10"/>
      <c r="J22" s="12" t="s">
        <v>14</v>
      </c>
      <c r="K22" s="15" t="s">
        <v>13</v>
      </c>
      <c r="L22" s="14">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15" t="s">
        <v>13</v>
      </c>
      <c r="AJ22" s="14">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s="51"/>
    </row>
    <row r="23" spans="1:53" s="20" customFormat="1" ht="5.0999999999999996" customHeight="1">
      <c r="A23" s="17"/>
      <c r="B23" s="18"/>
      <c r="C23" s="18"/>
      <c r="D23" s="18"/>
      <c r="E23" s="19"/>
      <c r="F23" s="18"/>
      <c r="G23" s="18"/>
      <c r="H23" s="18"/>
      <c r="I23" s="19"/>
      <c r="J23" s="18"/>
      <c r="K23" s="56"/>
      <c r="L23" s="56"/>
      <c r="M23" s="19"/>
      <c r="N23" s="18"/>
      <c r="O23" s="18"/>
      <c r="P23" s="18"/>
      <c r="Q23" s="19"/>
      <c r="R23" s="18"/>
      <c r="S23" s="18"/>
      <c r="T23" s="18"/>
      <c r="U23" s="19"/>
      <c r="V23" s="18"/>
      <c r="W23" s="18"/>
      <c r="X23" s="18"/>
      <c r="Y23" s="19"/>
      <c r="Z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s="51"/>
    </row>
    <row r="24" spans="1:53" ht="15" customHeight="1">
      <c r="A24" s="11"/>
      <c r="B24" s="12" t="s">
        <v>7</v>
      </c>
      <c r="C24" s="13">
        <v>0</v>
      </c>
      <c r="D24" s="14"/>
      <c r="E24" s="10"/>
      <c r="F24" s="12" t="s">
        <v>7</v>
      </c>
      <c r="G24" s="13">
        <v>0</v>
      </c>
      <c r="H24" s="14"/>
      <c r="I24" s="10"/>
      <c r="J24" s="12" t="s">
        <v>7</v>
      </c>
      <c r="K24" s="13">
        <v>0</v>
      </c>
      <c r="L24" s="14"/>
      <c r="M24" s="10"/>
      <c r="N24" s="12" t="s">
        <v>7</v>
      </c>
      <c r="O24" s="13">
        <v>0</v>
      </c>
      <c r="P24" s="14"/>
      <c r="Q24" s="10"/>
      <c r="R24" s="12" t="s">
        <v>7</v>
      </c>
      <c r="S24" s="13">
        <v>0</v>
      </c>
      <c r="T24" s="14"/>
      <c r="U24" s="10"/>
      <c r="V24" s="12" t="s">
        <v>7</v>
      </c>
      <c r="W24" s="13">
        <v>0</v>
      </c>
      <c r="X24" s="14"/>
      <c r="Y24" s="10"/>
      <c r="Z24" s="12" t="s">
        <v>7</v>
      </c>
      <c r="AA24" s="44">
        <v>50000</v>
      </c>
      <c r="AB24" s="43"/>
      <c r="AC24" s="10"/>
      <c r="AD24" s="12" t="s">
        <v>7</v>
      </c>
      <c r="AE24" s="13">
        <v>0</v>
      </c>
      <c r="AF24" s="14"/>
      <c r="AG24" s="10"/>
      <c r="AH24" s="12" t="s">
        <v>7</v>
      </c>
      <c r="AI24" s="54">
        <v>72000</v>
      </c>
      <c r="AJ24" s="14"/>
      <c r="AK24" s="10"/>
      <c r="AL24" s="12" t="s">
        <v>7</v>
      </c>
      <c r="AM24" s="13">
        <v>0</v>
      </c>
      <c r="AN24" s="14"/>
      <c r="AO24" s="10"/>
      <c r="AP24" s="12" t="s">
        <v>7</v>
      </c>
      <c r="AQ24" s="13">
        <v>0</v>
      </c>
      <c r="AR24" s="14"/>
      <c r="AS24" s="10"/>
      <c r="AT24" s="12" t="s">
        <v>7</v>
      </c>
      <c r="AU24" s="13">
        <v>0</v>
      </c>
      <c r="AV24" s="14"/>
      <c r="AW24" s="10"/>
      <c r="AX24" s="12" t="s">
        <v>7</v>
      </c>
      <c r="AY24" s="13">
        <v>0</v>
      </c>
      <c r="AZ24" s="14"/>
      <c r="BA24" s="51"/>
    </row>
    <row r="25" spans="1:53" ht="15" customHeight="1">
      <c r="A25" s="11"/>
      <c r="B25" s="12" t="s">
        <v>6</v>
      </c>
      <c r="C25" s="15">
        <v>0</v>
      </c>
      <c r="D25" s="14"/>
      <c r="E25" s="10"/>
      <c r="F25" s="12" t="s">
        <v>6</v>
      </c>
      <c r="G25" s="15">
        <v>0</v>
      </c>
      <c r="H25" s="14"/>
      <c r="I25" s="10"/>
      <c r="J25" s="12" t="s">
        <v>6</v>
      </c>
      <c r="K25" s="15">
        <v>0</v>
      </c>
      <c r="L25" s="14"/>
      <c r="M25" s="10"/>
      <c r="N25" s="12" t="s">
        <v>6</v>
      </c>
      <c r="O25" s="15">
        <v>0</v>
      </c>
      <c r="P25" s="14"/>
      <c r="Q25" s="10"/>
      <c r="R25" s="12" t="s">
        <v>6</v>
      </c>
      <c r="S25" s="15">
        <v>0</v>
      </c>
      <c r="T25" s="14"/>
      <c r="U25" s="10"/>
      <c r="V25" s="12" t="s">
        <v>6</v>
      </c>
      <c r="W25" s="15">
        <v>0</v>
      </c>
      <c r="X25" s="14"/>
      <c r="Y25" s="10"/>
      <c r="Z25" s="12" t="s">
        <v>6</v>
      </c>
      <c r="AA25" s="44">
        <v>0</v>
      </c>
      <c r="AB25" s="43"/>
      <c r="AC25" s="10"/>
      <c r="AD25" s="12" t="s">
        <v>6</v>
      </c>
      <c r="AE25" s="15">
        <v>0</v>
      </c>
      <c r="AF25" s="14"/>
      <c r="AG25" s="10"/>
      <c r="AH25" s="12" t="s">
        <v>6</v>
      </c>
      <c r="AI25" s="15">
        <v>0</v>
      </c>
      <c r="AJ25" s="14"/>
      <c r="AK25" s="10"/>
      <c r="AL25" s="12" t="s">
        <v>6</v>
      </c>
      <c r="AM25" s="15">
        <v>0</v>
      </c>
      <c r="AN25" s="14"/>
      <c r="AO25" s="10"/>
      <c r="AP25" s="12" t="s">
        <v>6</v>
      </c>
      <c r="AQ25" s="15">
        <v>0</v>
      </c>
      <c r="AR25" s="14"/>
      <c r="AS25" s="10"/>
      <c r="AT25" s="12" t="s">
        <v>6</v>
      </c>
      <c r="AU25" s="15">
        <v>0</v>
      </c>
      <c r="AV25" s="14"/>
      <c r="AW25" s="10"/>
      <c r="AX25" s="12" t="s">
        <v>6</v>
      </c>
      <c r="AY25" s="15">
        <v>0</v>
      </c>
      <c r="AZ25" s="14"/>
      <c r="BA25" s="51"/>
    </row>
    <row r="26" spans="1:53" ht="15" customHeight="1">
      <c r="A26" s="11"/>
      <c r="B26" s="12" t="s">
        <v>5</v>
      </c>
      <c r="C26" s="13" t="s">
        <v>4</v>
      </c>
      <c r="D26" s="14"/>
      <c r="E26" s="10"/>
      <c r="F26" s="12" t="s">
        <v>5</v>
      </c>
      <c r="G26" s="13" t="s">
        <v>4</v>
      </c>
      <c r="H26" s="14"/>
      <c r="I26" s="10"/>
      <c r="J26" s="12" t="s">
        <v>5</v>
      </c>
      <c r="K26" s="13" t="s">
        <v>4</v>
      </c>
      <c r="L26" s="14"/>
      <c r="M26" s="10"/>
      <c r="N26" s="12" t="s">
        <v>5</v>
      </c>
      <c r="O26" s="13" t="s">
        <v>4</v>
      </c>
      <c r="P26" s="14"/>
      <c r="Q26" s="10"/>
      <c r="R26" s="12" t="s">
        <v>5</v>
      </c>
      <c r="S26" s="13" t="s">
        <v>4</v>
      </c>
      <c r="T26" s="14"/>
      <c r="U26" s="10"/>
      <c r="V26" s="12" t="s">
        <v>5</v>
      </c>
      <c r="W26" s="13" t="s">
        <v>4</v>
      </c>
      <c r="X26" s="14"/>
      <c r="Y26" s="10"/>
      <c r="Z26" s="12" t="s">
        <v>5</v>
      </c>
      <c r="AA26" s="44" t="s">
        <v>113</v>
      </c>
      <c r="AB26" s="43"/>
      <c r="AC26" s="10"/>
      <c r="AD26" s="12" t="s">
        <v>5</v>
      </c>
      <c r="AE26" s="13" t="s">
        <v>4</v>
      </c>
      <c r="AF26" s="14"/>
      <c r="AG26" s="10"/>
      <c r="AH26" s="12" t="s">
        <v>5</v>
      </c>
      <c r="AI26" s="54" t="s">
        <v>257</v>
      </c>
      <c r="AJ26" s="14"/>
      <c r="AK26" s="10"/>
      <c r="AL26" s="12" t="s">
        <v>5</v>
      </c>
      <c r="AM26" s="13" t="s">
        <v>4</v>
      </c>
      <c r="AN26" s="14"/>
      <c r="AO26" s="10"/>
      <c r="AP26" s="12" t="s">
        <v>5</v>
      </c>
      <c r="AQ26" s="13" t="s">
        <v>4</v>
      </c>
      <c r="AR26" s="14"/>
      <c r="AS26" s="10"/>
      <c r="AT26" s="12" t="s">
        <v>5</v>
      </c>
      <c r="AU26" s="13" t="s">
        <v>4</v>
      </c>
      <c r="AV26" s="14"/>
      <c r="AW26" s="10"/>
      <c r="AX26" s="12" t="s">
        <v>5</v>
      </c>
      <c r="AY26" s="13" t="s">
        <v>4</v>
      </c>
      <c r="AZ26" s="14"/>
      <c r="BA26" s="51"/>
    </row>
    <row r="27" spans="1:53" ht="15" customHeight="1">
      <c r="A27" s="11"/>
      <c r="B27" s="12" t="s">
        <v>11</v>
      </c>
      <c r="C27" s="15" t="s">
        <v>13</v>
      </c>
      <c r="D27" s="43">
        <v>0</v>
      </c>
      <c r="E27" s="9"/>
      <c r="F27" s="12" t="s">
        <v>11</v>
      </c>
      <c r="G27" s="15" t="s">
        <v>13</v>
      </c>
      <c r="H27" s="14">
        <v>0</v>
      </c>
      <c r="I27" s="10"/>
      <c r="J27" s="12" t="s">
        <v>11</v>
      </c>
      <c r="K27" s="15" t="s">
        <v>13</v>
      </c>
      <c r="L27" s="14">
        <v>0</v>
      </c>
      <c r="M27" s="10"/>
      <c r="N27" s="12" t="s">
        <v>11</v>
      </c>
      <c r="O27" s="15" t="s">
        <v>13</v>
      </c>
      <c r="P27" s="14">
        <v>0</v>
      </c>
      <c r="Q27" s="10"/>
      <c r="R27" s="12" t="s">
        <v>11</v>
      </c>
      <c r="S27" s="15" t="s">
        <v>13</v>
      </c>
      <c r="T27" s="14">
        <v>0</v>
      </c>
      <c r="U27" s="10"/>
      <c r="V27" s="12" t="s">
        <v>11</v>
      </c>
      <c r="W27" s="15" t="s">
        <v>13</v>
      </c>
      <c r="X27" s="14">
        <v>0</v>
      </c>
      <c r="Y27" s="10"/>
      <c r="Z27" s="12" t="s">
        <v>11</v>
      </c>
      <c r="AA27" s="44" t="s">
        <v>131</v>
      </c>
      <c r="AB27" s="43">
        <v>1999</v>
      </c>
      <c r="AC27" s="10"/>
      <c r="AD27" s="12" t="s">
        <v>11</v>
      </c>
      <c r="AE27" s="15" t="s">
        <v>13</v>
      </c>
      <c r="AF27" s="14">
        <v>0</v>
      </c>
      <c r="AG27" s="10"/>
      <c r="AH27" s="12" t="s">
        <v>11</v>
      </c>
      <c r="AI27" s="54" t="s">
        <v>131</v>
      </c>
      <c r="AJ27" s="55">
        <v>2000</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s="51"/>
    </row>
    <row r="28" spans="1:53" ht="15" customHeight="1">
      <c r="A28" s="11"/>
      <c r="B28" s="12" t="s">
        <v>12</v>
      </c>
      <c r="C28" s="15" t="s">
        <v>13</v>
      </c>
      <c r="D28" s="14">
        <v>0</v>
      </c>
      <c r="E28" s="9"/>
      <c r="F28" s="12" t="s">
        <v>12</v>
      </c>
      <c r="G28" s="15" t="s">
        <v>13</v>
      </c>
      <c r="H28" s="16">
        <v>0</v>
      </c>
      <c r="I28" s="10"/>
      <c r="J28" s="12" t="s">
        <v>12</v>
      </c>
      <c r="K28" s="15" t="s">
        <v>13</v>
      </c>
      <c r="L28" s="14">
        <v>0</v>
      </c>
      <c r="M28" s="10"/>
      <c r="N28" s="12" t="s">
        <v>12</v>
      </c>
      <c r="O28" s="15" t="s">
        <v>13</v>
      </c>
      <c r="P28" s="16">
        <v>0</v>
      </c>
      <c r="Q28" s="10"/>
      <c r="R28" s="12" t="s">
        <v>12</v>
      </c>
      <c r="S28" s="15" t="s">
        <v>13</v>
      </c>
      <c r="T28" s="16">
        <v>0</v>
      </c>
      <c r="U28" s="10"/>
      <c r="V28" s="12" t="s">
        <v>12</v>
      </c>
      <c r="W28" s="15" t="s">
        <v>13</v>
      </c>
      <c r="X28" s="16">
        <v>0</v>
      </c>
      <c r="Y28" s="10"/>
      <c r="Z28" s="12" t="s">
        <v>12</v>
      </c>
      <c r="AA28" s="15" t="s">
        <v>13</v>
      </c>
      <c r="AB28" s="14">
        <v>0</v>
      </c>
      <c r="AC28" s="10"/>
      <c r="AD28" s="12" t="s">
        <v>12</v>
      </c>
      <c r="AE28" s="15" t="s">
        <v>13</v>
      </c>
      <c r="AF28" s="16">
        <v>0</v>
      </c>
      <c r="AG28" s="10"/>
      <c r="AH28" s="12" t="s">
        <v>12</v>
      </c>
      <c r="AI28" s="44" t="s">
        <v>268</v>
      </c>
      <c r="AJ28" s="43">
        <v>5000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s="51"/>
    </row>
    <row r="29" spans="1:53" ht="15" customHeight="1">
      <c r="A29" s="11"/>
      <c r="B29" s="12" t="s">
        <v>14</v>
      </c>
      <c r="C29" s="15" t="s">
        <v>13</v>
      </c>
      <c r="D29" s="14">
        <v>0</v>
      </c>
      <c r="E29" s="9"/>
      <c r="F29" s="12" t="s">
        <v>14</v>
      </c>
      <c r="G29" s="15" t="s">
        <v>13</v>
      </c>
      <c r="H29" s="14">
        <v>0</v>
      </c>
      <c r="I29" s="10"/>
      <c r="J29" s="12" t="s">
        <v>14</v>
      </c>
      <c r="K29" s="15" t="s">
        <v>13</v>
      </c>
      <c r="L29" s="14">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15" t="s">
        <v>13</v>
      </c>
      <c r="AJ29" s="14">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s="51"/>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s="51"/>
    </row>
    <row r="31" spans="1:53" ht="15" customHeight="1">
      <c r="A31" s="11"/>
      <c r="B31" s="12" t="s">
        <v>7</v>
      </c>
      <c r="C31" s="13">
        <v>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44">
        <v>49000</v>
      </c>
      <c r="AB31" s="43"/>
      <c r="AC31" s="10"/>
      <c r="AD31" s="12" t="s">
        <v>7</v>
      </c>
      <c r="AE31" s="13">
        <v>0</v>
      </c>
      <c r="AF31" s="14"/>
      <c r="AG31" s="10"/>
      <c r="AH31" s="12" t="s">
        <v>7</v>
      </c>
      <c r="AI31" s="44">
        <v>69000</v>
      </c>
      <c r="AJ31" s="14"/>
      <c r="AK31" s="10"/>
      <c r="AL31" s="12" t="s">
        <v>7</v>
      </c>
      <c r="AM31" s="13">
        <v>0</v>
      </c>
      <c r="AN31" s="14"/>
      <c r="AO31" s="10"/>
      <c r="AP31" s="12" t="s">
        <v>7</v>
      </c>
      <c r="AQ31" s="13">
        <v>0</v>
      </c>
      <c r="AR31" s="14"/>
      <c r="AS31" s="10"/>
      <c r="AT31" s="12" t="s">
        <v>7</v>
      </c>
      <c r="AU31" s="13">
        <v>0</v>
      </c>
      <c r="AV31" s="14"/>
      <c r="AW31" s="10"/>
      <c r="AX31" s="12" t="s">
        <v>7</v>
      </c>
      <c r="AY31" s="13">
        <v>0</v>
      </c>
      <c r="AZ31" s="14"/>
      <c r="BA31" s="5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44">
        <v>0</v>
      </c>
      <c r="AB32" s="43"/>
      <c r="AC32" s="10"/>
      <c r="AD32" s="12" t="s">
        <v>6</v>
      </c>
      <c r="AE32" s="15">
        <v>0</v>
      </c>
      <c r="AF32" s="14"/>
      <c r="AG32" s="10"/>
      <c r="AH32" s="12" t="s">
        <v>6</v>
      </c>
      <c r="AI32" s="15">
        <v>0</v>
      </c>
      <c r="AJ32" s="14"/>
      <c r="AK32" s="10"/>
      <c r="AL32" s="12" t="s">
        <v>6</v>
      </c>
      <c r="AM32" s="15">
        <v>0</v>
      </c>
      <c r="AN32" s="14"/>
      <c r="AO32" s="10"/>
      <c r="AP32" s="12" t="s">
        <v>6</v>
      </c>
      <c r="AQ32" s="15">
        <v>0</v>
      </c>
      <c r="AR32" s="14"/>
      <c r="AS32" s="10"/>
      <c r="AT32" s="12" t="s">
        <v>6</v>
      </c>
      <c r="AU32" s="15">
        <v>0</v>
      </c>
      <c r="AV32" s="14"/>
      <c r="AW32" s="10"/>
      <c r="AX32" s="12" t="s">
        <v>6</v>
      </c>
      <c r="AY32" s="15">
        <v>0</v>
      </c>
      <c r="AZ32" s="14"/>
      <c r="BA32" s="51"/>
    </row>
    <row r="33" spans="1:53" ht="15" customHeight="1">
      <c r="A33" s="11"/>
      <c r="B33" s="12" t="s">
        <v>5</v>
      </c>
      <c r="C33" s="13" t="s">
        <v>4</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44" t="s">
        <v>112</v>
      </c>
      <c r="AB33" s="43"/>
      <c r="AC33" s="10"/>
      <c r="AD33" s="12" t="s">
        <v>5</v>
      </c>
      <c r="AE33" s="13" t="s">
        <v>4</v>
      </c>
      <c r="AF33" s="14"/>
      <c r="AG33" s="10"/>
      <c r="AH33" s="12" t="s">
        <v>5</v>
      </c>
      <c r="AI33" s="54" t="s">
        <v>266</v>
      </c>
      <c r="AJ33" s="14"/>
      <c r="AK33" s="10"/>
      <c r="AL33" s="12" t="s">
        <v>5</v>
      </c>
      <c r="AM33" s="13" t="s">
        <v>4</v>
      </c>
      <c r="AN33" s="14"/>
      <c r="AO33" s="10"/>
      <c r="AP33" s="12" t="s">
        <v>5</v>
      </c>
      <c r="AQ33" s="13" t="s">
        <v>4</v>
      </c>
      <c r="AR33" s="14"/>
      <c r="AS33" s="10"/>
      <c r="AT33" s="12" t="s">
        <v>5</v>
      </c>
      <c r="AU33" s="13" t="s">
        <v>4</v>
      </c>
      <c r="AV33" s="14"/>
      <c r="AW33" s="10"/>
      <c r="AX33" s="12" t="s">
        <v>5</v>
      </c>
      <c r="AY33" s="13" t="s">
        <v>4</v>
      </c>
      <c r="AZ33" s="14"/>
      <c r="BA33" s="51"/>
    </row>
    <row r="34" spans="1:53" ht="15" customHeight="1">
      <c r="A34" s="11"/>
      <c r="B34" s="12" t="s">
        <v>11</v>
      </c>
      <c r="C34" s="15" t="s">
        <v>13</v>
      </c>
      <c r="D34" s="43">
        <v>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44" t="s">
        <v>131</v>
      </c>
      <c r="AB34" s="43">
        <v>1999</v>
      </c>
      <c r="AC34" s="10"/>
      <c r="AD34" s="12" t="s">
        <v>11</v>
      </c>
      <c r="AE34" s="15" t="s">
        <v>13</v>
      </c>
      <c r="AF34" s="14">
        <v>0</v>
      </c>
      <c r="AG34" s="10"/>
      <c r="AH34" s="12" t="s">
        <v>11</v>
      </c>
      <c r="AI34" s="54" t="s">
        <v>131</v>
      </c>
      <c r="AJ34" s="43">
        <v>2000</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s="51"/>
    </row>
    <row r="35" spans="1:53" ht="15" customHeight="1">
      <c r="A35" s="11"/>
      <c r="B35" s="12" t="s">
        <v>12</v>
      </c>
      <c r="C35" s="15" t="s">
        <v>13</v>
      </c>
      <c r="D35" s="43">
        <v>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4">
        <v>0</v>
      </c>
      <c r="AC35" s="10"/>
      <c r="AD35" s="12" t="s">
        <v>12</v>
      </c>
      <c r="AE35" s="15" t="s">
        <v>13</v>
      </c>
      <c r="AF35" s="16">
        <v>0</v>
      </c>
      <c r="AG35" s="10"/>
      <c r="AH35" s="12" t="s">
        <v>12</v>
      </c>
      <c r="AI35" s="15" t="s">
        <v>13</v>
      </c>
      <c r="AJ35" s="16">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s="51"/>
    </row>
    <row r="36" spans="1:53" ht="15" customHeight="1">
      <c r="A36" s="11"/>
      <c r="B36" s="12" t="s">
        <v>14</v>
      </c>
      <c r="C36" s="15" t="s">
        <v>13</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s="51"/>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s="51"/>
    </row>
    <row r="38" spans="1:53" ht="15" customHeight="1">
      <c r="A38" s="11"/>
      <c r="B38" s="12" t="s">
        <v>7</v>
      </c>
      <c r="C38" s="44">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44">
        <v>48000</v>
      </c>
      <c r="AB38" s="43"/>
      <c r="AC38" s="10"/>
      <c r="AD38" s="12" t="s">
        <v>7</v>
      </c>
      <c r="AE38" s="13">
        <v>0</v>
      </c>
      <c r="AF38" s="14"/>
      <c r="AG38" s="10"/>
      <c r="AH38" s="12" t="s">
        <v>7</v>
      </c>
      <c r="AI38" s="44">
        <v>67000</v>
      </c>
      <c r="AJ38" s="14"/>
      <c r="AK38" s="10"/>
      <c r="AL38" s="12" t="s">
        <v>7</v>
      </c>
      <c r="AM38" s="13">
        <v>0</v>
      </c>
      <c r="AN38" s="14"/>
      <c r="AO38" s="10"/>
      <c r="AP38" s="12" t="s">
        <v>7</v>
      </c>
      <c r="AQ38" s="13">
        <v>0</v>
      </c>
      <c r="AR38" s="14"/>
      <c r="AS38" s="10"/>
      <c r="AT38" s="12" t="s">
        <v>7</v>
      </c>
      <c r="AU38" s="13">
        <v>0</v>
      </c>
      <c r="AV38" s="14"/>
      <c r="AW38" s="10"/>
      <c r="AX38" s="12" t="s">
        <v>7</v>
      </c>
      <c r="AY38" s="13">
        <v>0</v>
      </c>
      <c r="AZ38" s="14"/>
      <c r="BA38" s="51"/>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44">
        <v>0</v>
      </c>
      <c r="AB39" s="43"/>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s="51"/>
    </row>
    <row r="40" spans="1:53"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44" t="s">
        <v>33</v>
      </c>
      <c r="AB40" s="43"/>
      <c r="AC40" s="10"/>
      <c r="AD40" s="12" t="s">
        <v>5</v>
      </c>
      <c r="AE40" s="13" t="s">
        <v>4</v>
      </c>
      <c r="AF40" s="14"/>
      <c r="AG40" s="10"/>
      <c r="AH40" s="12" t="s">
        <v>5</v>
      </c>
      <c r="AI40" s="54" t="s">
        <v>267</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s="51"/>
    </row>
    <row r="41" spans="1:53" ht="15" customHeight="1">
      <c r="A41" s="11"/>
      <c r="B41" s="12" t="s">
        <v>11</v>
      </c>
      <c r="C41" s="15" t="s">
        <v>13</v>
      </c>
      <c r="D41" s="43">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44" t="s">
        <v>131</v>
      </c>
      <c r="AB41" s="43">
        <v>1999</v>
      </c>
      <c r="AC41" s="10"/>
      <c r="AD41" s="12" t="s">
        <v>11</v>
      </c>
      <c r="AE41" s="15" t="s">
        <v>13</v>
      </c>
      <c r="AF41" s="14">
        <v>0</v>
      </c>
      <c r="AG41" s="10"/>
      <c r="AH41" s="12" t="s">
        <v>11</v>
      </c>
      <c r="AI41" s="54" t="s">
        <v>131</v>
      </c>
      <c r="AJ41" s="55">
        <v>2000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s="51"/>
    </row>
    <row r="42" spans="1:53" ht="15" customHeight="1">
      <c r="A42" s="11"/>
      <c r="B42" s="12" t="s">
        <v>12</v>
      </c>
      <c r="C42" s="15" t="s">
        <v>13</v>
      </c>
      <c r="D42" s="43">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4">
        <v>0</v>
      </c>
      <c r="AC42" s="10"/>
      <c r="AD42" s="12" t="s">
        <v>12</v>
      </c>
      <c r="AE42" s="15" t="s">
        <v>13</v>
      </c>
      <c r="AF42" s="16">
        <v>0</v>
      </c>
      <c r="AG42" s="10"/>
      <c r="AH42" s="12" t="s">
        <v>12</v>
      </c>
      <c r="AI42" s="15" t="s">
        <v>13</v>
      </c>
      <c r="AJ42" s="16">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s="51"/>
    </row>
    <row r="43" spans="1:53" ht="15" customHeight="1">
      <c r="A43" s="11"/>
      <c r="B43" s="12" t="s">
        <v>14</v>
      </c>
      <c r="C43" s="15" t="s">
        <v>13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s="51"/>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s="51"/>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44">
        <v>65000</v>
      </c>
      <c r="AJ45" s="14"/>
      <c r="AK45" s="10"/>
      <c r="AL45" s="12" t="s">
        <v>7</v>
      </c>
      <c r="AM45" s="13">
        <v>0</v>
      </c>
      <c r="AN45" s="14"/>
      <c r="AO45" s="10"/>
      <c r="AP45" s="12" t="s">
        <v>7</v>
      </c>
      <c r="AQ45" s="13">
        <v>0</v>
      </c>
      <c r="AR45" s="14"/>
      <c r="AS45" s="10"/>
      <c r="AT45" s="12" t="s">
        <v>7</v>
      </c>
      <c r="AU45" s="13">
        <v>0</v>
      </c>
      <c r="AV45" s="14"/>
      <c r="AW45" s="10"/>
      <c r="AX45" s="12" t="s">
        <v>7</v>
      </c>
      <c r="AY45" s="13">
        <v>0</v>
      </c>
      <c r="AZ45" s="14"/>
      <c r="BA45" s="51"/>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s="51"/>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54" t="s">
        <v>269</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s="51"/>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54" t="s">
        <v>131</v>
      </c>
      <c r="AJ48" s="43">
        <v>2000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s="51"/>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6">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s="51"/>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s="51"/>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s="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13">
        <v>0</v>
      </c>
      <c r="AJ52" s="14"/>
      <c r="AK52" s="10"/>
      <c r="AL52" s="12" t="s">
        <v>7</v>
      </c>
      <c r="AM52" s="13">
        <v>0</v>
      </c>
      <c r="AN52" s="14"/>
      <c r="AO52" s="10"/>
      <c r="AP52" s="12" t="s">
        <v>7</v>
      </c>
      <c r="AQ52" s="13">
        <v>0</v>
      </c>
      <c r="AR52" s="14"/>
      <c r="AS52" s="10"/>
      <c r="AT52" s="12" t="s">
        <v>7</v>
      </c>
      <c r="AU52" s="13">
        <v>0</v>
      </c>
      <c r="AV52" s="14"/>
      <c r="AW52" s="10"/>
      <c r="AX52" s="12" t="s">
        <v>7</v>
      </c>
      <c r="AY52" s="13">
        <v>0</v>
      </c>
      <c r="AZ52" s="14"/>
      <c r="BA52" s="51"/>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s="51"/>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13" t="s">
        <v>4</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s="51"/>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15" t="s">
        <v>13</v>
      </c>
      <c r="AJ55" s="14">
        <v>0</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s="51"/>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s="51"/>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s="51"/>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s="51"/>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s="51"/>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s="51"/>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s="5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s="51"/>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s="51"/>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s="51"/>
    </row>
    <row r="65" spans="1:53"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s="51"/>
    </row>
    <row r="66" spans="1:53"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s="51"/>
    </row>
    <row r="67" spans="1:53"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s="51"/>
    </row>
    <row r="68" spans="1:53"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s="51"/>
    </row>
    <row r="69" spans="1:53"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s="51"/>
    </row>
    <row r="70" spans="1:53"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s="51"/>
    </row>
    <row r="71" spans="1:53"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s="51"/>
    </row>
    <row r="72" spans="1:53"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s="51"/>
    </row>
    <row r="73" spans="1:53" ht="15" customHeight="1">
      <c r="A73" s="11"/>
      <c r="B73" s="22" t="s">
        <v>8</v>
      </c>
      <c r="C73" s="23">
        <v>200</v>
      </c>
      <c r="D73" s="24"/>
      <c r="E73" s="25"/>
      <c r="F73" s="22" t="s">
        <v>8</v>
      </c>
      <c r="G73" s="23">
        <v>1000</v>
      </c>
      <c r="H73" s="24"/>
      <c r="I73" s="25"/>
      <c r="J73" s="22" t="s">
        <v>8</v>
      </c>
      <c r="K73" s="23">
        <v>1000</v>
      </c>
      <c r="L73" s="24"/>
      <c r="M73" s="25"/>
      <c r="N73" s="22" t="s">
        <v>8</v>
      </c>
      <c r="O73" s="23">
        <v>2000</v>
      </c>
      <c r="P73" s="24"/>
      <c r="Q73" s="25"/>
      <c r="R73" s="22" t="s">
        <v>8</v>
      </c>
      <c r="S73" s="23">
        <v>0</v>
      </c>
      <c r="T73" s="24"/>
      <c r="U73" s="25"/>
      <c r="V73" s="22" t="s">
        <v>8</v>
      </c>
      <c r="W73" s="23">
        <v>5000</v>
      </c>
      <c r="X73" s="24"/>
      <c r="Y73" s="25"/>
      <c r="Z73" s="22" t="s">
        <v>8</v>
      </c>
      <c r="AA73" s="23">
        <v>1000</v>
      </c>
      <c r="AB73" s="24"/>
      <c r="AC73" s="25"/>
      <c r="AD73" s="22" t="s">
        <v>8</v>
      </c>
      <c r="AE73" s="23">
        <v>1000</v>
      </c>
      <c r="AF73" s="24"/>
      <c r="AG73" s="25"/>
      <c r="AH73" s="22" t="s">
        <v>8</v>
      </c>
      <c r="AI73" s="23">
        <v>1000</v>
      </c>
      <c r="AJ73" s="24"/>
      <c r="AK73" s="25"/>
      <c r="AL73" s="22" t="s">
        <v>8</v>
      </c>
      <c r="AM73" s="23">
        <v>0</v>
      </c>
      <c r="AN73" s="24"/>
      <c r="AO73" s="25"/>
      <c r="AP73" s="22" t="s">
        <v>8</v>
      </c>
      <c r="AQ73" s="23">
        <v>0</v>
      </c>
      <c r="AR73" s="24"/>
      <c r="AS73" s="25"/>
      <c r="AT73" s="22" t="s">
        <v>8</v>
      </c>
      <c r="AU73" s="23">
        <v>0</v>
      </c>
      <c r="AV73" s="24"/>
      <c r="AW73" s="25"/>
      <c r="AX73" s="22" t="s">
        <v>8</v>
      </c>
      <c r="AY73" s="23">
        <v>0</v>
      </c>
      <c r="AZ73" s="24"/>
      <c r="BA73" s="51"/>
    </row>
    <row r="74" spans="1:53"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1</v>
      </c>
      <c r="X74" s="28"/>
      <c r="Y74" s="25"/>
      <c r="Z74" s="26" t="s">
        <v>10</v>
      </c>
      <c r="AA74" s="45">
        <v>1</v>
      </c>
      <c r="AB74" s="28"/>
      <c r="AC74" s="25"/>
      <c r="AD74" s="26" t="s">
        <v>10</v>
      </c>
      <c r="AE74" s="27">
        <v>1</v>
      </c>
      <c r="AF74" s="28"/>
      <c r="AG74" s="25"/>
      <c r="AH74" s="26" t="s">
        <v>10</v>
      </c>
      <c r="AI74" s="45">
        <v>1</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s="51"/>
    </row>
    <row r="75" spans="1:53" s="32" customFormat="1" ht="15.7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22</v>
      </c>
      <c r="AN75" s="28"/>
      <c r="AO75" s="31"/>
      <c r="AP75" s="26" t="s">
        <v>18</v>
      </c>
      <c r="AQ75" s="27" t="s">
        <v>22</v>
      </c>
      <c r="AR75" s="28"/>
      <c r="AS75" s="31"/>
      <c r="AT75" s="26" t="s">
        <v>18</v>
      </c>
      <c r="AU75" s="27" t="s">
        <v>22</v>
      </c>
      <c r="AV75" s="28"/>
      <c r="AW75" s="31"/>
      <c r="AX75" s="26" t="s">
        <v>18</v>
      </c>
      <c r="AY75" s="27" t="s">
        <v>22</v>
      </c>
      <c r="AZ75" s="28"/>
      <c r="BA75" s="51"/>
    </row>
    <row r="76" spans="1:53" s="7" customFormat="1" ht="15.75">
      <c r="A76" s="51"/>
      <c r="B76" s="51"/>
      <c r="C76" s="51"/>
      <c r="D76" s="51"/>
      <c r="E76" s="51"/>
      <c r="F76" s="51"/>
      <c r="G76" s="51"/>
      <c r="H76" s="51"/>
      <c r="I76" s="5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row>
    <row r="77" spans="1:53" s="7" customFormat="1" ht="15.75">
      <c r="A77" s="51"/>
      <c r="B77" s="35" t="s">
        <v>119</v>
      </c>
      <c r="C77" s="36" t="s">
        <v>68</v>
      </c>
      <c r="D77" s="4" t="s">
        <v>36</v>
      </c>
      <c r="E77" s="51"/>
      <c r="F77" s="35" t="s">
        <v>119</v>
      </c>
      <c r="G77" s="36" t="s">
        <v>132</v>
      </c>
      <c r="H77" s="4" t="s">
        <v>36</v>
      </c>
      <c r="I77" s="51"/>
      <c r="J77" s="35" t="s">
        <v>5</v>
      </c>
      <c r="K77" s="47" t="s">
        <v>33</v>
      </c>
      <c r="L77" s="48" t="s">
        <v>36</v>
      </c>
      <c r="M77" s="51"/>
      <c r="N77" s="35" t="s">
        <v>5</v>
      </c>
      <c r="O77" s="36" t="s">
        <v>19</v>
      </c>
      <c r="P77" s="4" t="s">
        <v>37</v>
      </c>
      <c r="Q77" s="51"/>
      <c r="R77" s="35" t="s">
        <v>5</v>
      </c>
      <c r="S77" s="36" t="s">
        <v>51</v>
      </c>
      <c r="T77" s="4" t="s">
        <v>36</v>
      </c>
      <c r="U77" s="51"/>
      <c r="V77" s="35" t="s">
        <v>5</v>
      </c>
      <c r="W77" s="36" t="s">
        <v>52</v>
      </c>
      <c r="X77" s="48" t="s">
        <v>37</v>
      </c>
      <c r="Y77" s="51"/>
      <c r="Z77" s="35" t="s">
        <v>5</v>
      </c>
      <c r="AA77" s="36" t="s">
        <v>53</v>
      </c>
      <c r="AB77" s="48" t="s">
        <v>37</v>
      </c>
      <c r="AC77" s="51"/>
      <c r="AD77" s="35" t="s">
        <v>5</v>
      </c>
      <c r="AE77" s="36" t="s">
        <v>143</v>
      </c>
      <c r="AF77" s="4" t="s">
        <v>37</v>
      </c>
      <c r="AG77" s="51"/>
      <c r="AH77" s="35" t="s">
        <v>5</v>
      </c>
      <c r="AI77" s="36" t="s">
        <v>144</v>
      </c>
      <c r="AJ77" s="4" t="s">
        <v>36</v>
      </c>
      <c r="AK77" s="51"/>
      <c r="AL77" s="35" t="s">
        <v>5</v>
      </c>
      <c r="AM77" s="36" t="s">
        <v>145</v>
      </c>
      <c r="AN77" s="4" t="s">
        <v>37</v>
      </c>
      <c r="AO77" s="51"/>
      <c r="AP77" s="35" t="s">
        <v>5</v>
      </c>
      <c r="AQ77" s="36" t="s">
        <v>145</v>
      </c>
      <c r="AR77" s="4" t="s">
        <v>37</v>
      </c>
      <c r="AS77" s="51"/>
      <c r="AT77" s="35" t="s">
        <v>5</v>
      </c>
      <c r="AU77" s="36" t="s">
        <v>145</v>
      </c>
      <c r="AV77" s="4" t="s">
        <v>37</v>
      </c>
      <c r="AW77" s="51"/>
      <c r="AX77" s="35" t="s">
        <v>5</v>
      </c>
      <c r="AY77" s="47" t="s">
        <v>193</v>
      </c>
      <c r="AZ77" s="48" t="s">
        <v>36</v>
      </c>
      <c r="BA77" s="51"/>
    </row>
    <row r="78" spans="1:53" s="7" customFormat="1" ht="15.75">
      <c r="A78" s="51"/>
      <c r="B78" s="35" t="s">
        <v>38</v>
      </c>
      <c r="C78" s="36" t="s">
        <v>126</v>
      </c>
      <c r="D78" s="38" t="s">
        <v>120</v>
      </c>
      <c r="E78" s="51"/>
      <c r="F78" s="35" t="s">
        <v>38</v>
      </c>
      <c r="G78" s="36" t="s">
        <v>126</v>
      </c>
      <c r="H78" s="38" t="s">
        <v>120</v>
      </c>
      <c r="I78" s="51"/>
      <c r="J78" s="35" t="s">
        <v>38</v>
      </c>
      <c r="K78" s="47" t="s">
        <v>42</v>
      </c>
      <c r="L78" s="47">
        <v>0</v>
      </c>
      <c r="M78" s="51"/>
      <c r="N78" s="35" t="s">
        <v>38</v>
      </c>
      <c r="O78" s="36" t="s">
        <v>43</v>
      </c>
      <c r="P78" s="38">
        <v>15</v>
      </c>
      <c r="Q78" s="51"/>
      <c r="R78" s="35" t="s">
        <v>38</v>
      </c>
      <c r="S78" s="36" t="s">
        <v>62</v>
      </c>
      <c r="T78" s="38" t="s">
        <v>63</v>
      </c>
      <c r="U78" s="51"/>
      <c r="V78" s="35" t="s">
        <v>38</v>
      </c>
      <c r="W78" s="36" t="s">
        <v>62</v>
      </c>
      <c r="X78" s="38" t="s">
        <v>64</v>
      </c>
      <c r="Y78" s="51"/>
      <c r="Z78" s="35" t="s">
        <v>38</v>
      </c>
      <c r="AA78" s="36" t="s">
        <v>62</v>
      </c>
      <c r="AB78" s="38" t="s">
        <v>65</v>
      </c>
      <c r="AC78" s="51"/>
      <c r="AD78" s="35" t="s">
        <v>38</v>
      </c>
      <c r="AE78" s="36" t="s">
        <v>43</v>
      </c>
      <c r="AF78" s="38" t="s">
        <v>146</v>
      </c>
      <c r="AG78" s="51"/>
      <c r="AH78" s="35" t="s">
        <v>38</v>
      </c>
      <c r="AI78" s="36" t="s">
        <v>42</v>
      </c>
      <c r="AJ78" s="36">
        <v>0</v>
      </c>
      <c r="AK78" s="51"/>
      <c r="AL78" s="35" t="s">
        <v>38</v>
      </c>
      <c r="AM78" s="36" t="s">
        <v>147</v>
      </c>
      <c r="AN78" s="36">
        <v>1</v>
      </c>
      <c r="AO78" s="51"/>
      <c r="AP78" s="35" t="s">
        <v>38</v>
      </c>
      <c r="AQ78" s="36" t="s">
        <v>147</v>
      </c>
      <c r="AR78" s="36">
        <v>2</v>
      </c>
      <c r="AS78" s="51"/>
      <c r="AT78" s="35" t="s">
        <v>38</v>
      </c>
      <c r="AU78" s="36" t="s">
        <v>147</v>
      </c>
      <c r="AV78" s="36">
        <v>3</v>
      </c>
      <c r="AW78" s="51"/>
      <c r="AX78" s="35" t="s">
        <v>38</v>
      </c>
      <c r="AY78" s="47" t="s">
        <v>194</v>
      </c>
      <c r="AZ78" s="49" t="s">
        <v>65</v>
      </c>
      <c r="BA78" s="51"/>
    </row>
    <row r="79" spans="1:53" s="7" customFormat="1" ht="15.75">
      <c r="A79" s="51"/>
      <c r="B79" s="35" t="s">
        <v>38</v>
      </c>
      <c r="C79" s="36" t="s">
        <v>125</v>
      </c>
      <c r="D79" s="38" t="s">
        <v>134</v>
      </c>
      <c r="E79" s="51"/>
      <c r="F79" s="35" t="s">
        <v>38</v>
      </c>
      <c r="G79" s="36" t="s">
        <v>125</v>
      </c>
      <c r="H79" s="38" t="s">
        <v>134</v>
      </c>
      <c r="I79" s="51"/>
      <c r="J79" s="35" t="s">
        <v>38</v>
      </c>
      <c r="K79" s="47" t="s">
        <v>39</v>
      </c>
      <c r="L79" s="47">
        <v>2000</v>
      </c>
      <c r="M79" s="51"/>
      <c r="N79" s="35" t="s">
        <v>38</v>
      </c>
      <c r="O79" s="36" t="s">
        <v>44</v>
      </c>
      <c r="P79" s="38" t="s">
        <v>45</v>
      </c>
      <c r="Q79" s="51"/>
      <c r="R79" s="35" t="s">
        <v>38</v>
      </c>
      <c r="S79" s="36" t="s">
        <v>54</v>
      </c>
      <c r="T79" s="49" t="s">
        <v>235</v>
      </c>
      <c r="U79" s="51"/>
      <c r="V79" s="35" t="s">
        <v>38</v>
      </c>
      <c r="W79" s="36" t="s">
        <v>54</v>
      </c>
      <c r="X79" s="38" t="s">
        <v>115</v>
      </c>
      <c r="Y79" s="51"/>
      <c r="Z79" s="35" t="s">
        <v>38</v>
      </c>
      <c r="AA79" s="36" t="s">
        <v>54</v>
      </c>
      <c r="AB79" s="38" t="s">
        <v>118</v>
      </c>
      <c r="AC79" s="51"/>
      <c r="AD79" s="35" t="s">
        <v>38</v>
      </c>
      <c r="AE79" s="36" t="s">
        <v>148</v>
      </c>
      <c r="AF79" s="38" t="s">
        <v>64</v>
      </c>
      <c r="AG79" s="51"/>
      <c r="AH79" s="35" t="s">
        <v>38</v>
      </c>
      <c r="AI79" s="36" t="s">
        <v>149</v>
      </c>
      <c r="AJ79" s="47">
        <v>400</v>
      </c>
      <c r="AK79" s="51"/>
      <c r="AL79" s="35" t="s">
        <v>38</v>
      </c>
      <c r="AM79" s="36" t="s">
        <v>150</v>
      </c>
      <c r="AN79" s="36">
        <v>1200</v>
      </c>
      <c r="AO79" s="51"/>
      <c r="AP79" s="35" t="s">
        <v>38</v>
      </c>
      <c r="AQ79" s="36" t="s">
        <v>150</v>
      </c>
      <c r="AR79" s="36">
        <v>600</v>
      </c>
      <c r="AS79" s="51"/>
      <c r="AT79" s="35" t="s">
        <v>38</v>
      </c>
      <c r="AU79" s="36" t="s">
        <v>150</v>
      </c>
      <c r="AV79" s="36">
        <v>300</v>
      </c>
      <c r="AW79" s="51"/>
      <c r="AX79" s="35" t="s">
        <v>38</v>
      </c>
      <c r="AY79" s="47" t="s">
        <v>195</v>
      </c>
      <c r="AZ79" s="49" t="s">
        <v>196</v>
      </c>
      <c r="BA79" s="51"/>
    </row>
    <row r="80" spans="1:53" s="7" customFormat="1" ht="15.75">
      <c r="A80" s="51"/>
      <c r="B80" s="35" t="s">
        <v>38</v>
      </c>
      <c r="C80" s="36" t="s">
        <v>126</v>
      </c>
      <c r="D80" s="38" t="s">
        <v>121</v>
      </c>
      <c r="E80" s="51"/>
      <c r="F80" s="35" t="s">
        <v>38</v>
      </c>
      <c r="G80" s="36" t="s">
        <v>126</v>
      </c>
      <c r="H80" s="38" t="s">
        <v>121</v>
      </c>
      <c r="I80" s="51"/>
      <c r="J80" s="35" t="s">
        <v>38</v>
      </c>
      <c r="K80" s="47" t="s">
        <v>40</v>
      </c>
      <c r="L80" s="47">
        <v>1000</v>
      </c>
      <c r="M80" s="51"/>
      <c r="N80" s="35" t="s">
        <v>38</v>
      </c>
      <c r="O80" s="36" t="s">
        <v>46</v>
      </c>
      <c r="P80" s="38" t="s">
        <v>47</v>
      </c>
      <c r="Q80" s="51"/>
      <c r="R80" s="35" t="s">
        <v>38</v>
      </c>
      <c r="S80" s="36" t="s">
        <v>67</v>
      </c>
      <c r="T80" s="38" t="s">
        <v>260</v>
      </c>
      <c r="U80" s="51"/>
      <c r="V80" s="35" t="s">
        <v>38</v>
      </c>
      <c r="W80" s="36" t="s">
        <v>67</v>
      </c>
      <c r="X80" s="38" t="s">
        <v>117</v>
      </c>
      <c r="Y80" s="51"/>
      <c r="Z80" s="35" t="s">
        <v>38</v>
      </c>
      <c r="AA80" s="36" t="s">
        <v>67</v>
      </c>
      <c r="AB80" s="38" t="s">
        <v>117</v>
      </c>
      <c r="AC80" s="51"/>
      <c r="AD80" s="35" t="s">
        <v>38</v>
      </c>
      <c r="AE80" s="36" t="s">
        <v>46</v>
      </c>
      <c r="AF80" s="38" t="s">
        <v>142</v>
      </c>
      <c r="AG80" s="51"/>
      <c r="AH80" s="35" t="s">
        <v>38</v>
      </c>
      <c r="AI80" s="36" t="s">
        <v>151</v>
      </c>
      <c r="AJ80" s="47">
        <v>100</v>
      </c>
      <c r="AK80" s="51"/>
      <c r="AL80" s="35" t="s">
        <v>38</v>
      </c>
      <c r="AM80" s="36" t="s">
        <v>152</v>
      </c>
      <c r="AN80" s="36">
        <v>300</v>
      </c>
      <c r="AO80" s="51"/>
      <c r="AP80" s="35" t="s">
        <v>38</v>
      </c>
      <c r="AQ80" s="36" t="s">
        <v>152</v>
      </c>
      <c r="AR80" s="36">
        <v>300</v>
      </c>
      <c r="AS80" s="51"/>
      <c r="AT80" s="35" t="s">
        <v>38</v>
      </c>
      <c r="AU80" s="36" t="s">
        <v>152</v>
      </c>
      <c r="AV80" s="36">
        <v>300</v>
      </c>
      <c r="AW80" s="51"/>
      <c r="AX80" s="35" t="s">
        <v>38</v>
      </c>
      <c r="AY80" s="47" t="s">
        <v>197</v>
      </c>
      <c r="AZ80" s="49" t="s">
        <v>245</v>
      </c>
      <c r="BA80" s="51"/>
    </row>
    <row r="81" spans="1:53" s="7" customFormat="1" ht="15.75">
      <c r="A81" s="51"/>
      <c r="B81" s="35" t="s">
        <v>38</v>
      </c>
      <c r="C81" s="36" t="s">
        <v>125</v>
      </c>
      <c r="D81" s="38" t="s">
        <v>122</v>
      </c>
      <c r="E81" s="51"/>
      <c r="F81" s="35" t="s">
        <v>38</v>
      </c>
      <c r="G81" s="36" t="s">
        <v>125</v>
      </c>
      <c r="H81" s="38" t="s">
        <v>122</v>
      </c>
      <c r="I81" s="51"/>
      <c r="J81" s="35" t="s">
        <v>38</v>
      </c>
      <c r="K81" s="47" t="s">
        <v>41</v>
      </c>
      <c r="L81" s="47">
        <v>500</v>
      </c>
      <c r="M81" s="51"/>
      <c r="N81" s="35" t="s">
        <v>38</v>
      </c>
      <c r="O81" s="36" t="s">
        <v>48</v>
      </c>
      <c r="P81" s="38" t="s">
        <v>49</v>
      </c>
      <c r="Q81" s="51"/>
      <c r="R81" s="35" t="s">
        <v>38</v>
      </c>
      <c r="S81" s="36" t="s">
        <v>66</v>
      </c>
      <c r="T81" s="38" t="s">
        <v>259</v>
      </c>
      <c r="U81" s="51"/>
      <c r="V81" s="35" t="s">
        <v>38</v>
      </c>
      <c r="W81" s="36" t="s">
        <v>66</v>
      </c>
      <c r="X81" s="38" t="s">
        <v>142</v>
      </c>
      <c r="Y81" s="51"/>
      <c r="Z81" s="35" t="s">
        <v>38</v>
      </c>
      <c r="AA81" s="36" t="s">
        <v>66</v>
      </c>
      <c r="AB81" s="38" t="s">
        <v>142</v>
      </c>
      <c r="AC81" s="51"/>
      <c r="AD81" s="35" t="s">
        <v>38</v>
      </c>
      <c r="AE81" s="36" t="s">
        <v>153</v>
      </c>
      <c r="AF81" s="38" t="s">
        <v>64</v>
      </c>
      <c r="AG81" s="51"/>
      <c r="AH81" s="35" t="s">
        <v>38</v>
      </c>
      <c r="AI81" s="36" t="s">
        <v>154</v>
      </c>
      <c r="AJ81" s="47">
        <v>100</v>
      </c>
      <c r="AK81" s="51"/>
      <c r="AL81" s="51"/>
      <c r="AM81" s="51"/>
      <c r="AN81" s="51"/>
      <c r="AO81" s="51"/>
      <c r="AP81" s="51"/>
      <c r="AQ81" s="51"/>
      <c r="AR81" s="51"/>
      <c r="AS81" s="51"/>
      <c r="AT81" s="51"/>
      <c r="AU81" s="51"/>
      <c r="AV81" s="51"/>
      <c r="AW81" s="51"/>
      <c r="AX81" s="35" t="s">
        <v>38</v>
      </c>
      <c r="AY81" s="47" t="s">
        <v>198</v>
      </c>
      <c r="AZ81" s="49" t="s">
        <v>247</v>
      </c>
      <c r="BA81" s="51"/>
    </row>
    <row r="82" spans="1:53" s="7" customFormat="1" ht="15.75">
      <c r="A82" s="51"/>
      <c r="B82" s="35" t="s">
        <v>38</v>
      </c>
      <c r="C82" s="36" t="s">
        <v>126</v>
      </c>
      <c r="D82" s="38" t="s">
        <v>123</v>
      </c>
      <c r="E82" s="51"/>
      <c r="F82" s="35" t="s">
        <v>38</v>
      </c>
      <c r="G82" s="36" t="s">
        <v>126</v>
      </c>
      <c r="H82" s="38" t="s">
        <v>123</v>
      </c>
      <c r="I82" s="51"/>
      <c r="J82" s="51"/>
      <c r="K82" s="51"/>
      <c r="L82" s="51"/>
      <c r="M82" s="51"/>
      <c r="N82" s="35" t="s">
        <v>38</v>
      </c>
      <c r="O82" s="36" t="s">
        <v>50</v>
      </c>
      <c r="P82" s="38" t="s">
        <v>47</v>
      </c>
      <c r="Q82" s="51"/>
      <c r="R82" s="35" t="s">
        <v>38</v>
      </c>
      <c r="S82" s="36" t="s">
        <v>57</v>
      </c>
      <c r="T82" s="38" t="s">
        <v>227</v>
      </c>
      <c r="U82" s="51"/>
      <c r="V82" s="35" t="s">
        <v>38</v>
      </c>
      <c r="W82" s="36" t="s">
        <v>57</v>
      </c>
      <c r="X82" s="38" t="s">
        <v>58</v>
      </c>
      <c r="Y82" s="51"/>
      <c r="Z82" s="35" t="s">
        <v>38</v>
      </c>
      <c r="AA82" s="36" t="s">
        <v>57</v>
      </c>
      <c r="AB82" s="38" t="s">
        <v>58</v>
      </c>
      <c r="AC82" s="51"/>
      <c r="AD82" s="35" t="s">
        <v>38</v>
      </c>
      <c r="AE82" s="36" t="s">
        <v>50</v>
      </c>
      <c r="AF82" s="38" t="s">
        <v>136</v>
      </c>
      <c r="AG82" s="51"/>
      <c r="AH82" s="35" t="s">
        <v>38</v>
      </c>
      <c r="AI82" s="36" t="s">
        <v>155</v>
      </c>
      <c r="AJ82" s="47">
        <v>200</v>
      </c>
      <c r="AK82" s="51"/>
      <c r="AL82" s="51"/>
      <c r="AM82" s="51"/>
      <c r="AN82" s="51"/>
      <c r="AO82" s="51"/>
      <c r="AP82" s="51"/>
      <c r="AQ82" s="51"/>
      <c r="AR82" s="51"/>
      <c r="AS82" s="51"/>
      <c r="AT82" s="51"/>
      <c r="AU82" s="51"/>
      <c r="AV82" s="51"/>
      <c r="AW82" s="51"/>
      <c r="AX82" s="35" t="s">
        <v>38</v>
      </c>
      <c r="AY82" s="47" t="s">
        <v>237</v>
      </c>
      <c r="AZ82" s="49" t="s">
        <v>244</v>
      </c>
      <c r="BA82" s="51"/>
    </row>
    <row r="83" spans="1:53" s="7" customFormat="1" ht="15.75">
      <c r="A83" s="51"/>
      <c r="B83" s="35" t="s">
        <v>38</v>
      </c>
      <c r="C83" s="36" t="s">
        <v>125</v>
      </c>
      <c r="D83" s="38" t="s">
        <v>135</v>
      </c>
      <c r="E83" s="51"/>
      <c r="F83" s="35" t="s">
        <v>38</v>
      </c>
      <c r="G83" s="36" t="s">
        <v>125</v>
      </c>
      <c r="H83" s="38" t="s">
        <v>135</v>
      </c>
      <c r="I83" s="51"/>
      <c r="J83" s="51"/>
      <c r="K83" s="51"/>
      <c r="L83" s="51"/>
      <c r="M83" s="51"/>
      <c r="N83" s="51"/>
      <c r="O83" s="51"/>
      <c r="P83" s="51"/>
      <c r="Q83" s="51"/>
      <c r="R83" s="35" t="s">
        <v>38</v>
      </c>
      <c r="S83" s="36" t="s">
        <v>55</v>
      </c>
      <c r="T83" s="49" t="s">
        <v>250</v>
      </c>
      <c r="U83" s="51"/>
      <c r="V83" s="35" t="s">
        <v>38</v>
      </c>
      <c r="W83" s="36" t="s">
        <v>55</v>
      </c>
      <c r="X83" s="38" t="s">
        <v>239</v>
      </c>
      <c r="Y83" s="51"/>
      <c r="Z83" s="35" t="s">
        <v>38</v>
      </c>
      <c r="AA83" s="36" t="s">
        <v>55</v>
      </c>
      <c r="AB83" s="38" t="s">
        <v>239</v>
      </c>
      <c r="AC83" s="51"/>
      <c r="AD83" s="35" t="s">
        <v>38</v>
      </c>
      <c r="AE83" s="36" t="s">
        <v>156</v>
      </c>
      <c r="AF83" s="38" t="s">
        <v>64</v>
      </c>
      <c r="AG83" s="51"/>
      <c r="AH83" s="35" t="s">
        <v>38</v>
      </c>
      <c r="AI83" s="36" t="s">
        <v>157</v>
      </c>
      <c r="AJ83" s="47">
        <v>100</v>
      </c>
      <c r="AK83" s="51"/>
      <c r="AL83" s="51"/>
      <c r="AM83" s="51"/>
      <c r="AN83" s="51"/>
      <c r="AO83" s="51"/>
      <c r="AP83" s="51"/>
      <c r="AQ83" s="51"/>
      <c r="AR83" s="51"/>
      <c r="AS83" s="51"/>
      <c r="AT83" s="51"/>
      <c r="AU83" s="51"/>
      <c r="AV83" s="51"/>
      <c r="AW83" s="51"/>
      <c r="AX83" s="35" t="s">
        <v>38</v>
      </c>
      <c r="AY83" s="47" t="s">
        <v>199</v>
      </c>
      <c r="AZ83" s="49" t="s">
        <v>240</v>
      </c>
      <c r="BA83" s="51"/>
    </row>
    <row r="84" spans="1:53" s="7" customFormat="1" ht="15.75">
      <c r="A84" s="51"/>
      <c r="B84" s="35" t="s">
        <v>38</v>
      </c>
      <c r="C84" s="36" t="s">
        <v>126</v>
      </c>
      <c r="D84" s="38" t="s">
        <v>124</v>
      </c>
      <c r="E84" s="51"/>
      <c r="F84" s="35" t="s">
        <v>38</v>
      </c>
      <c r="G84" s="36" t="s">
        <v>126</v>
      </c>
      <c r="H84" s="38" t="s">
        <v>124</v>
      </c>
      <c r="I84" s="51"/>
      <c r="J84" s="51"/>
      <c r="K84" s="51"/>
      <c r="L84" s="51"/>
      <c r="M84" s="51"/>
      <c r="N84" s="51"/>
      <c r="O84" s="51"/>
      <c r="P84" s="51"/>
      <c r="Q84" s="51"/>
      <c r="R84" s="35" t="s">
        <v>38</v>
      </c>
      <c r="S84" s="36" t="s">
        <v>56</v>
      </c>
      <c r="T84" s="49" t="s">
        <v>137</v>
      </c>
      <c r="U84" s="51"/>
      <c r="V84" s="35" t="s">
        <v>38</v>
      </c>
      <c r="W84" s="36" t="s">
        <v>56</v>
      </c>
      <c r="X84" s="38" t="s">
        <v>241</v>
      </c>
      <c r="Y84" s="51"/>
      <c r="Z84" s="35" t="s">
        <v>38</v>
      </c>
      <c r="AA84" s="36" t="s">
        <v>56</v>
      </c>
      <c r="AB84" s="38" t="s">
        <v>241</v>
      </c>
      <c r="AC84" s="51"/>
      <c r="AD84" s="35" t="s">
        <v>38</v>
      </c>
      <c r="AE84" s="36" t="s">
        <v>158</v>
      </c>
      <c r="AF84" s="38" t="s">
        <v>159</v>
      </c>
      <c r="AG84" s="51"/>
      <c r="AH84" s="35" t="s">
        <v>38</v>
      </c>
      <c r="AI84" s="36" t="s">
        <v>160</v>
      </c>
      <c r="AJ84" s="47">
        <v>800</v>
      </c>
      <c r="AK84" s="51"/>
      <c r="AL84" s="51"/>
      <c r="AM84" s="51"/>
      <c r="AN84" s="51"/>
      <c r="AO84" s="51"/>
      <c r="AP84" s="51"/>
      <c r="AQ84" s="51"/>
      <c r="AR84" s="51"/>
      <c r="AS84" s="51"/>
      <c r="AT84" s="51"/>
      <c r="AU84" s="51"/>
      <c r="AV84" s="51"/>
      <c r="AW84" s="51"/>
      <c r="AX84" s="35" t="s">
        <v>38</v>
      </c>
      <c r="AY84" s="47" t="s">
        <v>200</v>
      </c>
      <c r="AZ84" s="49" t="s">
        <v>264</v>
      </c>
      <c r="BA84" s="51"/>
    </row>
    <row r="85" spans="1:53" s="7" customFormat="1" ht="15.75">
      <c r="A85" s="51"/>
      <c r="B85" s="35" t="s">
        <v>38</v>
      </c>
      <c r="C85" s="36" t="s">
        <v>125</v>
      </c>
      <c r="D85" s="38" t="s">
        <v>136</v>
      </c>
      <c r="E85" s="51"/>
      <c r="F85" s="35" t="s">
        <v>38</v>
      </c>
      <c r="G85" s="36" t="s">
        <v>125</v>
      </c>
      <c r="H85" s="38" t="s">
        <v>136</v>
      </c>
      <c r="I85" s="51"/>
      <c r="J85" s="51"/>
      <c r="K85" s="51"/>
      <c r="L85" s="51"/>
      <c r="M85" s="51"/>
      <c r="N85" s="51"/>
      <c r="O85" s="51"/>
      <c r="P85" s="51"/>
      <c r="Q85" s="51"/>
      <c r="R85" s="35" t="s">
        <v>38</v>
      </c>
      <c r="S85" s="36" t="s">
        <v>59</v>
      </c>
      <c r="T85" s="49" t="s">
        <v>243</v>
      </c>
      <c r="U85" s="51"/>
      <c r="V85" s="35" t="s">
        <v>38</v>
      </c>
      <c r="W85" s="36" t="s">
        <v>59</v>
      </c>
      <c r="X85" s="38" t="s">
        <v>141</v>
      </c>
      <c r="Y85" s="51"/>
      <c r="Z85" s="35" t="s">
        <v>38</v>
      </c>
      <c r="AA85" s="36" t="s">
        <v>59</v>
      </c>
      <c r="AB85" s="38" t="s">
        <v>141</v>
      </c>
      <c r="AC85" s="51"/>
      <c r="AD85" s="51"/>
      <c r="AE85" s="51"/>
      <c r="AF85" s="51"/>
      <c r="AG85" s="51"/>
      <c r="AH85" s="35" t="s">
        <v>38</v>
      </c>
      <c r="AI85" s="36" t="s">
        <v>255</v>
      </c>
      <c r="AJ85" s="47">
        <v>100</v>
      </c>
      <c r="AK85" s="51"/>
      <c r="AL85" s="51"/>
      <c r="AM85" s="51"/>
      <c r="AN85" s="51"/>
      <c r="AO85" s="51"/>
      <c r="AP85" s="51"/>
      <c r="AQ85" s="51"/>
      <c r="AR85" s="51"/>
      <c r="AS85" s="51"/>
      <c r="AT85" s="51"/>
      <c r="AU85" s="51"/>
      <c r="AV85" s="51"/>
      <c r="AW85" s="51"/>
      <c r="AX85" s="35" t="s">
        <v>38</v>
      </c>
      <c r="AY85" s="47" t="s">
        <v>201</v>
      </c>
      <c r="AZ85" s="52">
        <f>ROUND(AZ80+AZ86*AZ82/1000, 0)</f>
        <v>212483</v>
      </c>
      <c r="BA85" s="51"/>
    </row>
    <row r="86" spans="1:53" s="7" customFormat="1" ht="15.75">
      <c r="A86" s="51"/>
      <c r="B86" s="41" t="s">
        <v>38</v>
      </c>
      <c r="C86" s="42" t="s">
        <v>127</v>
      </c>
      <c r="D86" s="38" t="s">
        <v>63</v>
      </c>
      <c r="E86" s="51"/>
      <c r="F86" s="41" t="s">
        <v>38</v>
      </c>
      <c r="G86" s="42" t="s">
        <v>127</v>
      </c>
      <c r="H86" s="38" t="s">
        <v>64</v>
      </c>
      <c r="I86" s="51"/>
      <c r="J86" s="51"/>
      <c r="K86" s="51"/>
      <c r="L86" s="51"/>
      <c r="M86" s="51"/>
      <c r="N86" s="51"/>
      <c r="O86" s="51"/>
      <c r="P86" s="51"/>
      <c r="Q86" s="51"/>
      <c r="R86" s="35" t="s">
        <v>38</v>
      </c>
      <c r="S86" s="36" t="s">
        <v>60</v>
      </c>
      <c r="T86" s="49" t="s">
        <v>241</v>
      </c>
      <c r="U86" s="51"/>
      <c r="V86" s="35" t="s">
        <v>38</v>
      </c>
      <c r="W86" s="36" t="s">
        <v>60</v>
      </c>
      <c r="X86" s="38" t="s">
        <v>138</v>
      </c>
      <c r="Y86" s="51"/>
      <c r="Z86" s="35" t="s">
        <v>38</v>
      </c>
      <c r="AA86" s="36" t="s">
        <v>60</v>
      </c>
      <c r="AB86" s="38" t="s">
        <v>138</v>
      </c>
      <c r="AC86" s="51"/>
      <c r="AD86" s="51"/>
      <c r="AE86" s="51"/>
      <c r="AF86" s="51"/>
      <c r="AG86" s="51"/>
      <c r="AH86" s="35" t="s">
        <v>38</v>
      </c>
      <c r="AI86" s="36" t="s">
        <v>256</v>
      </c>
      <c r="AJ86" s="47">
        <v>25500</v>
      </c>
      <c r="AK86" s="51"/>
      <c r="AL86" s="51"/>
      <c r="AM86" s="51"/>
      <c r="AN86" s="51"/>
      <c r="AO86" s="51"/>
      <c r="AP86" s="51"/>
      <c r="AQ86" s="51"/>
      <c r="AR86" s="51"/>
      <c r="AS86" s="51"/>
      <c r="AT86" s="51"/>
      <c r="AU86" s="51"/>
      <c r="AV86" s="51"/>
      <c r="AW86" s="51"/>
      <c r="AX86" s="41" t="s">
        <v>38</v>
      </c>
      <c r="AY86" s="53" t="s">
        <v>202</v>
      </c>
      <c r="AZ86" s="52">
        <f>ROUND((AZ79-AZ80)*1000/(AZ82-AZ81),0)</f>
        <v>2833</v>
      </c>
      <c r="BA86" s="51"/>
    </row>
    <row r="87" spans="1:53" s="7" customFormat="1" ht="15.75">
      <c r="A87" s="51"/>
      <c r="B87" s="51"/>
      <c r="C87" s="51"/>
      <c r="D87" s="51"/>
      <c r="E87" s="51"/>
      <c r="F87" s="51"/>
      <c r="G87" s="51"/>
      <c r="H87" s="51"/>
      <c r="I87" s="51"/>
      <c r="J87" s="51"/>
      <c r="K87" s="51"/>
      <c r="L87" s="51"/>
      <c r="M87" s="51"/>
      <c r="N87" s="51"/>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35" t="s">
        <v>38</v>
      </c>
      <c r="AY87" s="47" t="s">
        <v>203</v>
      </c>
      <c r="AZ87" s="52">
        <f>ROUND(AZ84+AZ88*AZ82/1000,0)</f>
        <v>172517</v>
      </c>
      <c r="BA87" s="51"/>
    </row>
    <row r="88" spans="1:53" s="7" customFormat="1" ht="15.75">
      <c r="A88" s="51"/>
      <c r="B88" s="51"/>
      <c r="C88" s="51"/>
      <c r="D88" s="51"/>
      <c r="E88" s="51"/>
      <c r="F88" s="51"/>
      <c r="G88" s="51"/>
      <c r="H88" s="51"/>
      <c r="I88" s="51"/>
      <c r="J88" s="51"/>
      <c r="K88" s="51"/>
      <c r="L88" s="51"/>
      <c r="M88" s="51"/>
      <c r="N88" s="51"/>
      <c r="O88" s="51"/>
      <c r="P88" s="51"/>
      <c r="Q88" s="51"/>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41" t="s">
        <v>38</v>
      </c>
      <c r="AY88" s="53" t="s">
        <v>204</v>
      </c>
      <c r="AZ88" s="52">
        <f>ROUND((AZ83-AZ84)*1000/(AZ82-AZ81),0)</f>
        <v>2167</v>
      </c>
    </row>
    <row r="89" spans="1:53" s="7" customFormat="1" ht="15.75">
      <c r="A89" s="51"/>
      <c r="B89" s="51"/>
      <c r="C89" s="51"/>
      <c r="D89" s="51"/>
      <c r="E89" s="51"/>
      <c r="F89" s="51"/>
      <c r="G89" s="51"/>
      <c r="H89" s="51"/>
      <c r="I89" s="51"/>
      <c r="J89" s="51"/>
      <c r="K89" s="51"/>
      <c r="L89" s="51"/>
      <c r="M89" s="51"/>
      <c r="N89" s="51"/>
      <c r="O89" s="51"/>
      <c r="P89" s="51"/>
      <c r="Q89" s="51"/>
      <c r="U89" s="51"/>
      <c r="V89" s="51"/>
      <c r="W89" s="51"/>
      <c r="X89" s="51"/>
      <c r="Y89" s="51"/>
      <c r="Z89" s="51"/>
      <c r="AA89" s="51"/>
      <c r="AB89" s="51"/>
      <c r="AC89" s="51"/>
      <c r="AD89" s="51"/>
      <c r="AE89" s="51"/>
      <c r="AF89" s="51"/>
      <c r="AG89" s="51"/>
      <c r="AH89" s="51"/>
      <c r="AI89" s="51"/>
      <c r="AJ89" s="51"/>
      <c r="AK89" s="51"/>
      <c r="AL89" s="51"/>
      <c r="AM89" s="51"/>
      <c r="AN89" s="51"/>
      <c r="AO89" s="51"/>
      <c r="AP89" s="51"/>
      <c r="AQ89" s="51"/>
      <c r="AR89" s="51"/>
      <c r="AS89" s="51"/>
      <c r="AT89" s="51"/>
      <c r="AU89" s="51"/>
      <c r="AV89" s="51"/>
      <c r="AW89" s="51"/>
      <c r="AX89" s="35" t="s">
        <v>38</v>
      </c>
      <c r="AY89" s="36" t="s">
        <v>226</v>
      </c>
      <c r="AZ89" s="49" t="s">
        <v>270</v>
      </c>
    </row>
    <row r="90" spans="1:53" s="7" customFormat="1" ht="15.75">
      <c r="A90" s="51"/>
      <c r="B90" s="51"/>
      <c r="C90" s="51"/>
      <c r="D90" s="51"/>
      <c r="E90" s="51"/>
      <c r="F90" s="51"/>
      <c r="G90" s="51"/>
      <c r="H90" s="51"/>
      <c r="I90" s="51"/>
      <c r="J90" s="51"/>
      <c r="K90" s="51"/>
      <c r="L90" s="51"/>
      <c r="M90" s="51"/>
      <c r="N90" s="51"/>
      <c r="O90" s="51"/>
      <c r="P90" s="51"/>
      <c r="Q90" s="51"/>
      <c r="U90" s="51"/>
      <c r="V90" s="51"/>
      <c r="W90" s="51"/>
      <c r="X90" s="51"/>
      <c r="Y90" s="51"/>
      <c r="Z90" s="51"/>
      <c r="AA90" s="51"/>
      <c r="AB90" s="51"/>
      <c r="AC90" s="51"/>
      <c r="AD90" s="51"/>
      <c r="AE90" s="51"/>
      <c r="AF90" s="51"/>
      <c r="AG90" s="51"/>
      <c r="AH90" s="51"/>
      <c r="AI90" s="51"/>
      <c r="AJ90" s="51"/>
      <c r="AK90" s="51"/>
      <c r="AL90" s="51"/>
      <c r="AM90" s="51"/>
      <c r="AN90" s="51"/>
      <c r="AO90" s="51"/>
      <c r="AP90" s="51"/>
      <c r="AQ90" s="51"/>
      <c r="AR90" s="51"/>
      <c r="AS90" s="51"/>
      <c r="AT90" s="51"/>
      <c r="AU90" s="51"/>
      <c r="AV90" s="51"/>
      <c r="AW90" s="51"/>
      <c r="AX90" s="35" t="s">
        <v>38</v>
      </c>
      <c r="AY90" s="36" t="s">
        <v>228</v>
      </c>
      <c r="AZ90" s="49" t="s">
        <v>270</v>
      </c>
    </row>
    <row r="91" spans="1:53" s="7" customFormat="1" ht="15.75">
      <c r="A91" s="51"/>
      <c r="B91" s="51"/>
      <c r="C91" s="51"/>
      <c r="D91" s="51"/>
      <c r="E91" s="51"/>
      <c r="F91" s="51"/>
      <c r="G91" s="51"/>
      <c r="H91" s="51"/>
      <c r="I91" s="51"/>
      <c r="J91" s="51"/>
      <c r="K91" s="51"/>
      <c r="L91" s="51"/>
      <c r="M91" s="51"/>
      <c r="N91" s="51"/>
      <c r="O91" s="51"/>
      <c r="P91" s="51"/>
      <c r="Q91" s="51"/>
      <c r="U91" s="51"/>
      <c r="V91" s="51"/>
      <c r="W91" s="51"/>
      <c r="X91" s="51"/>
      <c r="Y91" s="51"/>
      <c r="Z91" s="51"/>
      <c r="AA91" s="51"/>
      <c r="AB91" s="51"/>
      <c r="AC91" s="51"/>
      <c r="AD91" s="51"/>
      <c r="AE91" s="51"/>
      <c r="AF91" s="51"/>
      <c r="AG91" s="51"/>
      <c r="AH91" s="51"/>
      <c r="AI91" s="51"/>
      <c r="AJ91" s="51"/>
      <c r="AK91" s="51"/>
      <c r="AL91" s="51"/>
      <c r="AM91" s="51"/>
      <c r="AN91" s="51"/>
      <c r="AO91" s="51"/>
      <c r="AP91" s="51"/>
      <c r="AQ91" s="51"/>
      <c r="AR91" s="51"/>
      <c r="AS91" s="51"/>
      <c r="AT91" s="51"/>
      <c r="AU91" s="51"/>
      <c r="AV91" s="51"/>
      <c r="AW91" s="51"/>
      <c r="AX91" s="35" t="s">
        <v>38</v>
      </c>
      <c r="AY91" s="36" t="s">
        <v>229</v>
      </c>
      <c r="AZ91" s="49" t="s">
        <v>230</v>
      </c>
    </row>
    <row r="92" spans="1:53" s="7" customFormat="1" ht="15.75">
      <c r="A92" s="51"/>
      <c r="B92" s="51"/>
      <c r="C92" s="51"/>
      <c r="D92" s="51"/>
      <c r="E92" s="51"/>
      <c r="F92" s="51"/>
      <c r="G92" s="51"/>
      <c r="H92" s="51"/>
      <c r="I92" s="51"/>
      <c r="J92" s="51"/>
      <c r="K92" s="51"/>
      <c r="L92" s="51"/>
      <c r="M92" s="51"/>
      <c r="N92" s="51"/>
      <c r="O92" s="51"/>
      <c r="P92" s="51"/>
      <c r="Q92" s="51"/>
      <c r="U92" s="51"/>
      <c r="V92" s="51"/>
      <c r="W92" s="51"/>
      <c r="X92" s="51"/>
      <c r="Y92" s="51"/>
      <c r="Z92" s="51"/>
      <c r="AA92" s="51"/>
      <c r="AB92" s="51"/>
      <c r="AC92" s="51"/>
      <c r="AD92" s="51"/>
      <c r="AE92" s="51"/>
      <c r="AF92" s="51"/>
      <c r="AG92" s="51"/>
      <c r="AH92" s="51"/>
      <c r="AI92" s="51"/>
      <c r="AJ92" s="51"/>
      <c r="AK92" s="51"/>
      <c r="AL92" s="51"/>
      <c r="AM92" s="51"/>
      <c r="AN92" s="51"/>
      <c r="AO92" s="51"/>
      <c r="AP92" s="51"/>
      <c r="AQ92" s="51"/>
      <c r="AR92" s="51"/>
      <c r="AS92" s="51"/>
      <c r="AT92" s="51"/>
      <c r="AU92" s="51"/>
      <c r="AV92" s="51"/>
      <c r="AW92" s="51"/>
      <c r="AX92" s="51"/>
    </row>
    <row r="93" spans="1:53" s="7" customFormat="1" ht="15.75">
      <c r="A93" s="51"/>
      <c r="B93" s="51"/>
      <c r="C93" s="51"/>
      <c r="D93" s="51"/>
      <c r="E93" s="51"/>
      <c r="F93" s="51"/>
      <c r="G93" s="51"/>
      <c r="H93" s="51"/>
      <c r="I93" s="51"/>
      <c r="J93" s="51"/>
      <c r="K93" s="51"/>
      <c r="L93" s="51"/>
      <c r="M93" s="51"/>
      <c r="N93" s="51"/>
      <c r="O93" s="51"/>
      <c r="P93" s="51"/>
      <c r="Q93" s="51"/>
      <c r="U93" s="51"/>
      <c r="V93" s="51"/>
      <c r="W93" s="51"/>
      <c r="X93" s="51"/>
      <c r="Y93" s="51"/>
      <c r="Z93" s="51"/>
      <c r="AA93" s="51"/>
      <c r="AB93" s="51"/>
      <c r="AC93" s="51"/>
      <c r="AD93" s="51"/>
      <c r="AE93" s="51"/>
      <c r="AF93" s="51"/>
      <c r="AG93" s="51"/>
      <c r="AH93" s="51"/>
      <c r="AI93" s="51"/>
      <c r="AJ93" s="51"/>
      <c r="AK93" s="51"/>
      <c r="AL93" s="51"/>
      <c r="AM93" s="51"/>
      <c r="AN93" s="51"/>
      <c r="AO93" s="51"/>
      <c r="AP93" s="51"/>
      <c r="AQ93" s="51"/>
      <c r="AR93" s="51"/>
      <c r="AS93" s="51"/>
      <c r="AT93" s="51"/>
      <c r="AU93" s="51"/>
      <c r="AV93" s="51"/>
      <c r="AW93" s="51"/>
      <c r="AX93" s="51"/>
    </row>
    <row r="94" spans="1:53" s="7" customFormat="1" ht="15.75">
      <c r="A94" s="51"/>
      <c r="B94" s="51"/>
      <c r="C94" s="51"/>
      <c r="D94" s="51"/>
      <c r="E94" s="51"/>
      <c r="F94" s="51"/>
      <c r="G94" s="51"/>
      <c r="H94" s="51"/>
      <c r="I94" s="51"/>
      <c r="J94" s="51"/>
      <c r="K94" s="51"/>
      <c r="L94" s="51"/>
      <c r="M94" s="51"/>
      <c r="N94" s="51"/>
      <c r="O94" s="51"/>
      <c r="P94" s="51"/>
      <c r="Q94" s="51"/>
      <c r="U94" s="51"/>
      <c r="V94" s="51"/>
      <c r="W94" s="51"/>
      <c r="X94" s="51"/>
      <c r="Y94" s="51"/>
      <c r="Z94" s="51"/>
      <c r="AA94" s="51"/>
      <c r="AB94" s="51"/>
      <c r="AC94" s="51"/>
      <c r="AD94" s="51"/>
      <c r="AE94" s="51"/>
      <c r="AF94" s="51"/>
      <c r="AG94" s="51"/>
      <c r="AH94" s="51"/>
      <c r="AI94" s="51"/>
      <c r="AJ94" s="51"/>
      <c r="AK94" s="51"/>
      <c r="AL94" s="51"/>
      <c r="AM94" s="51"/>
      <c r="AN94" s="51"/>
      <c r="AO94" s="51"/>
      <c r="AP94" s="51"/>
      <c r="AQ94" s="51"/>
      <c r="AR94" s="51"/>
      <c r="AS94" s="51"/>
      <c r="AT94" s="51"/>
      <c r="AU94" s="51"/>
      <c r="AV94" s="51"/>
      <c r="AW94" s="51"/>
      <c r="AX94" s="51"/>
    </row>
    <row r="95" spans="1:53" ht="15.75">
      <c r="A95" s="51"/>
      <c r="B95" s="51"/>
      <c r="C95" s="51"/>
      <c r="D95" s="51"/>
      <c r="E95" s="51"/>
      <c r="F95" s="51"/>
      <c r="G95" s="51"/>
      <c r="H95" s="51"/>
      <c r="I95" s="51"/>
      <c r="J95" s="51"/>
      <c r="K95" s="51"/>
      <c r="L95" s="51"/>
      <c r="M95" s="51"/>
      <c r="N95" s="51"/>
      <c r="O95" s="51"/>
      <c r="P95" s="51"/>
      <c r="Q95" s="51"/>
      <c r="U95" s="51"/>
      <c r="V95" s="51"/>
      <c r="W95" s="51"/>
      <c r="X95" s="51"/>
      <c r="Y95" s="51"/>
      <c r="Z95" s="51"/>
      <c r="AA95" s="51"/>
      <c r="AB95" s="51"/>
      <c r="AC95" s="51"/>
      <c r="AD95" s="51"/>
      <c r="AE95" s="51"/>
      <c r="AF95" s="51"/>
      <c r="AG95" s="51"/>
      <c r="AH95" s="51"/>
      <c r="AI95" s="51"/>
      <c r="AJ95" s="51"/>
      <c r="AK95" s="51"/>
      <c r="AL95" s="51"/>
      <c r="AM95" s="51"/>
      <c r="AN95" s="51"/>
      <c r="AO95" s="51"/>
      <c r="AP95" s="51"/>
      <c r="AQ95" s="51"/>
      <c r="AR95" s="51"/>
      <c r="AS95" s="51"/>
      <c r="AT95" s="51"/>
      <c r="AU95" s="51"/>
      <c r="AV95" s="51"/>
      <c r="AW95" s="51"/>
      <c r="AX95" s="51"/>
      <c r="AY95" s="1"/>
      <c r="AZ95" s="1"/>
      <c r="BA95" s="1"/>
    </row>
    <row r="96" spans="1:53" ht="15.75">
      <c r="A96" s="51"/>
      <c r="B96" s="51"/>
      <c r="C96" s="51"/>
      <c r="D96" s="51"/>
      <c r="E96" s="51"/>
      <c r="F96" s="51"/>
      <c r="G96" s="51"/>
      <c r="H96" s="51"/>
      <c r="I96" s="51"/>
      <c r="J96" s="51"/>
      <c r="K96" s="51"/>
      <c r="L96" s="51"/>
      <c r="M96" s="51"/>
      <c r="N96" s="51"/>
      <c r="O96" s="51"/>
      <c r="P96" s="51"/>
      <c r="Q96" s="51"/>
      <c r="U96" s="51"/>
      <c r="V96" s="51"/>
      <c r="W96" s="51"/>
      <c r="X96" s="51"/>
      <c r="Y96" s="51"/>
      <c r="Z96" s="51"/>
      <c r="AA96" s="51"/>
      <c r="AB96" s="51"/>
      <c r="AC96" s="51"/>
      <c r="AD96" s="51"/>
      <c r="AE96" s="51"/>
      <c r="AF96" s="51"/>
      <c r="AG96" s="51"/>
      <c r="AH96" s="51"/>
      <c r="AI96" s="51"/>
      <c r="AJ96" s="51"/>
      <c r="AK96" s="51"/>
      <c r="AL96" s="51"/>
      <c r="AM96" s="51"/>
      <c r="AN96" s="51"/>
      <c r="AO96" s="51"/>
      <c r="AP96" s="51"/>
      <c r="AQ96" s="51"/>
      <c r="AR96" s="51"/>
      <c r="AS96" s="51"/>
      <c r="AT96" s="51"/>
      <c r="AU96" s="51"/>
      <c r="AV96" s="51"/>
      <c r="AW96" s="51"/>
      <c r="AX96" s="51"/>
      <c r="AY96" s="1"/>
      <c r="AZ96" s="1"/>
      <c r="BA96" s="1"/>
    </row>
    <row r="97" spans="1:53" ht="15.75">
      <c r="A97" s="51"/>
      <c r="B97" s="51"/>
      <c r="C97" s="51"/>
      <c r="D97" s="51"/>
      <c r="E97" s="51"/>
      <c r="F97" s="51"/>
      <c r="G97" s="51"/>
      <c r="H97" s="51"/>
      <c r="I97" s="51"/>
      <c r="J97" s="51"/>
      <c r="K97" s="51"/>
      <c r="L97" s="51"/>
      <c r="M97" s="51"/>
      <c r="N97" s="51"/>
      <c r="O97" s="51"/>
      <c r="P97" s="51"/>
      <c r="Q97" s="51"/>
      <c r="U97" s="51"/>
      <c r="V97" s="51"/>
      <c r="W97" s="51"/>
      <c r="X97" s="51"/>
      <c r="Y97" s="51"/>
      <c r="Z97" s="51"/>
      <c r="AA97" s="51"/>
      <c r="AB97" s="51"/>
      <c r="AC97" s="51"/>
      <c r="AD97" s="51"/>
      <c r="AE97" s="51"/>
      <c r="AF97" s="51"/>
      <c r="AG97" s="51"/>
      <c r="AH97" s="51"/>
      <c r="AI97" s="51"/>
      <c r="AJ97" s="51"/>
      <c r="AK97" s="51"/>
      <c r="AL97" s="51"/>
      <c r="AM97" s="51"/>
      <c r="AN97" s="51"/>
      <c r="AO97" s="51"/>
      <c r="AP97" s="51"/>
      <c r="AQ97" s="51"/>
      <c r="AR97" s="51"/>
      <c r="AS97" s="51"/>
      <c r="AT97" s="51"/>
      <c r="AU97" s="51"/>
      <c r="AV97" s="51"/>
      <c r="AW97" s="51"/>
      <c r="AX97" s="51"/>
      <c r="AY97" s="1"/>
      <c r="AZ97" s="1"/>
      <c r="BA97" s="1"/>
    </row>
    <row r="98" spans="1:53" ht="15.75">
      <c r="A98" s="51"/>
      <c r="B98" s="51"/>
      <c r="C98" s="51"/>
      <c r="D98" s="51"/>
      <c r="E98" s="51"/>
      <c r="F98" s="51"/>
      <c r="G98" s="51"/>
      <c r="H98" s="51"/>
      <c r="I98" s="51"/>
      <c r="J98" s="51"/>
      <c r="K98" s="51"/>
      <c r="L98" s="51"/>
      <c r="M98" s="51"/>
      <c r="N98" s="51"/>
      <c r="O98" s="51"/>
      <c r="P98" s="51"/>
      <c r="Q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c r="AT98" s="51"/>
      <c r="AU98" s="51"/>
      <c r="AV98" s="51"/>
      <c r="AW98" s="51"/>
      <c r="AX98" s="51"/>
      <c r="AY98" s="1"/>
      <c r="AZ98" s="1"/>
      <c r="BA98" s="1"/>
    </row>
    <row r="99" spans="1:53" ht="15.75">
      <c r="A99" s="51"/>
      <c r="B99" s="51"/>
      <c r="C99" s="51"/>
      <c r="D99" s="51"/>
      <c r="E99" s="51"/>
      <c r="F99" s="51"/>
      <c r="G99" s="51"/>
      <c r="H99" s="51"/>
      <c r="I99" s="51"/>
      <c r="J99" s="51"/>
      <c r="K99" s="51"/>
      <c r="L99" s="51"/>
      <c r="M99" s="51"/>
      <c r="N99" s="51"/>
      <c r="O99" s="51"/>
      <c r="P99" s="51"/>
      <c r="Q99" s="51"/>
      <c r="U99" s="51"/>
      <c r="V99" s="51"/>
      <c r="W99" s="51"/>
      <c r="X99" s="51"/>
      <c r="Y99" s="51"/>
      <c r="Z99" s="51"/>
      <c r="AA99" s="51"/>
      <c r="AB99" s="51"/>
      <c r="AC99" s="51"/>
      <c r="AD99" s="51"/>
      <c r="AE99" s="51"/>
      <c r="AF99" s="51"/>
      <c r="AG99" s="51"/>
      <c r="AH99" s="51"/>
      <c r="AI99" s="51"/>
      <c r="AJ99" s="51"/>
      <c r="AK99" s="51"/>
      <c r="AL99" s="51"/>
      <c r="AM99" s="51"/>
      <c r="AN99" s="51"/>
      <c r="AO99" s="51"/>
      <c r="AP99" s="51"/>
      <c r="AQ99" s="51"/>
      <c r="AR99" s="51"/>
      <c r="AS99" s="51"/>
      <c r="AT99" s="51"/>
      <c r="AU99" s="51"/>
      <c r="AV99" s="51"/>
      <c r="AW99" s="51"/>
      <c r="AX99" s="51"/>
      <c r="AY99" s="1"/>
      <c r="AZ99" s="1"/>
      <c r="BA99" s="1"/>
    </row>
    <row r="100" spans="1:53" ht="15.75">
      <c r="A100" s="51"/>
      <c r="B100" s="51"/>
      <c r="C100" s="51"/>
      <c r="D100" s="51"/>
      <c r="E100" s="51"/>
      <c r="F100" s="51"/>
      <c r="G100" s="51"/>
      <c r="H100" s="51"/>
      <c r="I100" s="51"/>
      <c r="J100" s="51"/>
      <c r="K100" s="51"/>
      <c r="L100" s="51"/>
      <c r="M100" s="51"/>
      <c r="N100" s="51"/>
      <c r="O100" s="51"/>
      <c r="P100" s="51"/>
      <c r="Q100" s="51"/>
      <c r="U100" s="51"/>
      <c r="V100" s="51"/>
      <c r="W100" s="51"/>
      <c r="X100" s="51"/>
      <c r="Y100" s="51"/>
      <c r="Z100" s="51"/>
      <c r="AA100" s="51"/>
      <c r="AB100" s="51"/>
      <c r="AC100" s="51"/>
      <c r="AD100" s="51"/>
      <c r="AE100" s="51"/>
      <c r="AF100" s="51"/>
      <c r="AG100" s="51"/>
      <c r="AH100" s="51"/>
      <c r="AI100" s="51"/>
      <c r="AJ100" s="51"/>
      <c r="AK100" s="51"/>
      <c r="AL100" s="51"/>
      <c r="AM100" s="51"/>
      <c r="AN100" s="51"/>
      <c r="AO100" s="51"/>
      <c r="AP100" s="51"/>
      <c r="AQ100" s="51"/>
      <c r="AR100" s="51"/>
      <c r="AS100" s="51"/>
      <c r="AT100" s="51"/>
      <c r="AU100" s="51"/>
      <c r="AV100" s="51"/>
      <c r="AW100" s="51"/>
      <c r="AX100" s="51"/>
      <c r="AY100" s="51"/>
      <c r="AZ100" s="51"/>
      <c r="BA100" s="51"/>
    </row>
    <row r="101" spans="1:53" ht="15.75">
      <c r="A101" s="51"/>
      <c r="B101" s="51"/>
      <c r="C101" s="51"/>
      <c r="D101" s="51"/>
      <c r="E101" s="51"/>
      <c r="F101" s="51"/>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c r="AT101" s="51"/>
      <c r="AU101" s="51"/>
      <c r="AV101" s="51"/>
      <c r="AW101" s="51"/>
      <c r="AX101" s="51"/>
      <c r="AY101" s="51"/>
      <c r="AZ101" s="51"/>
      <c r="BA101" s="51"/>
    </row>
    <row r="102" spans="1:53" ht="15.75">
      <c r="A102" s="51"/>
      <c r="B102" s="51"/>
      <c r="C102" s="51"/>
      <c r="D102" s="51"/>
      <c r="E102" s="51"/>
      <c r="F102" s="51"/>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c r="AT102" s="51"/>
      <c r="AU102" s="51"/>
      <c r="AV102" s="51"/>
      <c r="AW102" s="51"/>
      <c r="AX102" s="51"/>
      <c r="AY102" s="51"/>
      <c r="AZ102" s="51"/>
      <c r="BA102" s="51"/>
    </row>
    <row r="103" spans="1:53" ht="15.75">
      <c r="A103" s="51"/>
      <c r="B103" s="51"/>
      <c r="C103" s="51"/>
      <c r="D103" s="51"/>
      <c r="E103" s="51"/>
      <c r="F103" s="51"/>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c r="AJ103" s="51"/>
      <c r="AK103" s="51"/>
      <c r="AL103" s="51"/>
      <c r="AM103" s="51"/>
      <c r="AN103" s="51"/>
      <c r="AO103" s="51"/>
      <c r="AP103" s="51"/>
      <c r="AQ103" s="51"/>
      <c r="AR103" s="51"/>
      <c r="AS103" s="51"/>
      <c r="AT103" s="51"/>
      <c r="AU103" s="51"/>
      <c r="AV103" s="51"/>
      <c r="AW103" s="51"/>
      <c r="AX103" s="51"/>
      <c r="AY103" s="51"/>
      <c r="AZ103" s="51"/>
      <c r="BA103" s="51"/>
    </row>
    <row r="104" spans="1:53" ht="15.75">
      <c r="A104" s="51"/>
      <c r="B104" s="51"/>
      <c r="C104" s="51"/>
      <c r="D104" s="51"/>
      <c r="E104" s="51"/>
      <c r="F104" s="51"/>
      <c r="G104" s="51"/>
      <c r="H104" s="51"/>
      <c r="I104" s="51"/>
      <c r="J104" s="51"/>
      <c r="K104" s="51"/>
      <c r="L104" s="51"/>
      <c r="M104" s="51"/>
      <c r="N104" s="51"/>
      <c r="O104" s="51"/>
      <c r="P104" s="51"/>
      <c r="Q104" s="51"/>
      <c r="R104" s="51"/>
      <c r="S104" s="51"/>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c r="AT104" s="51"/>
      <c r="AU104" s="51"/>
      <c r="AV104" s="51"/>
      <c r="AW104" s="51"/>
      <c r="AX104" s="51"/>
      <c r="AY104" s="51"/>
      <c r="AZ104" s="51"/>
      <c r="BA104" s="51"/>
    </row>
    <row r="105" spans="1:53" ht="15.75">
      <c r="A105" s="51"/>
      <c r="B105" s="51"/>
      <c r="C105" s="51"/>
      <c r="D105" s="51"/>
      <c r="E105" s="51"/>
      <c r="F105" s="51"/>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c r="AD105" s="51"/>
      <c r="AE105" s="51"/>
      <c r="AF105" s="51"/>
      <c r="AG105" s="51"/>
      <c r="AH105" s="51"/>
      <c r="AI105" s="51"/>
      <c r="AJ105" s="51"/>
      <c r="AK105" s="51"/>
      <c r="AL105" s="51"/>
      <c r="AM105" s="51"/>
      <c r="AN105" s="51"/>
      <c r="AO105" s="51"/>
      <c r="AP105" s="51"/>
      <c r="AQ105" s="51"/>
      <c r="AR105" s="51"/>
      <c r="AS105" s="51"/>
      <c r="AT105" s="51"/>
      <c r="AU105" s="51"/>
      <c r="AV105" s="51"/>
      <c r="AW105" s="51"/>
      <c r="AX105" s="51"/>
      <c r="AY105" s="51"/>
      <c r="AZ105" s="51"/>
      <c r="BA105" s="51"/>
    </row>
    <row r="106" spans="1:53" ht="15.75">
      <c r="A106" s="51"/>
      <c r="B106" s="51"/>
      <c r="C106" s="51"/>
      <c r="D106" s="51"/>
      <c r="E106" s="51"/>
      <c r="F106" s="51"/>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c r="AV106" s="51"/>
      <c r="AW106" s="51"/>
      <c r="AX106" s="51"/>
      <c r="AY106" s="51"/>
      <c r="AZ106" s="51"/>
      <c r="BA106" s="51"/>
    </row>
    <row r="107" spans="1:53" ht="15.75">
      <c r="A107" s="51"/>
      <c r="B107" s="51"/>
      <c r="C107" s="51"/>
      <c r="D107" s="51"/>
      <c r="E107" s="51"/>
      <c r="F107" s="51"/>
      <c r="G107" s="51"/>
      <c r="H107" s="51"/>
      <c r="I107" s="5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c r="AV107" s="51"/>
      <c r="AW107" s="51"/>
      <c r="AX107" s="51"/>
      <c r="AY107" s="51"/>
      <c r="AZ107" s="51"/>
      <c r="BA107" s="51"/>
    </row>
    <row r="108" spans="1:53" ht="15.75">
      <c r="A108" s="51"/>
      <c r="B108" s="51"/>
      <c r="C108" s="51"/>
      <c r="D108" s="51"/>
      <c r="E108" s="51"/>
      <c r="F108" s="51"/>
      <c r="G108" s="51"/>
      <c r="H108" s="51"/>
      <c r="I108" s="5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c r="AV108" s="51"/>
      <c r="AW108" s="51"/>
      <c r="AX108" s="51"/>
      <c r="AY108" s="51"/>
      <c r="AZ108" s="51"/>
      <c r="BA108" s="51"/>
    </row>
    <row r="109" spans="1:53" ht="15.75">
      <c r="A109" s="51"/>
      <c r="B109" s="51"/>
      <c r="C109" s="51"/>
      <c r="D109" s="51"/>
      <c r="E109" s="51"/>
      <c r="F109" s="51"/>
      <c r="G109" s="51"/>
      <c r="H109" s="51"/>
      <c r="I109" s="5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c r="AV109" s="51"/>
      <c r="AW109" s="51"/>
      <c r="AX109" s="51"/>
      <c r="AY109" s="51"/>
      <c r="AZ109" s="51"/>
      <c r="BA109" s="51"/>
    </row>
    <row r="110" spans="1:53" ht="15.75">
      <c r="A110" s="51"/>
      <c r="B110" s="51"/>
      <c r="C110" s="51"/>
      <c r="D110" s="51"/>
      <c r="E110" s="51"/>
      <c r="F110" s="51"/>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c r="AV110" s="51"/>
      <c r="AW110" s="51"/>
      <c r="AX110" s="51"/>
      <c r="AY110" s="51"/>
      <c r="AZ110" s="51"/>
      <c r="BA110" s="51"/>
    </row>
    <row r="111" spans="1:53" ht="15.75">
      <c r="A111" s="51"/>
      <c r="B111" s="51"/>
      <c r="C111" s="51"/>
      <c r="D111" s="51"/>
      <c r="E111" s="51"/>
      <c r="F111" s="51"/>
      <c r="G111" s="51"/>
      <c r="H111" s="51"/>
      <c r="I111" s="5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c r="AV111" s="51"/>
      <c r="AW111" s="51"/>
      <c r="AX111" s="51"/>
      <c r="AY111" s="51"/>
      <c r="AZ111" s="51"/>
      <c r="BA111" s="51"/>
    </row>
    <row r="112" spans="1:53" ht="15.75">
      <c r="A112" s="51"/>
      <c r="B112" s="51"/>
      <c r="C112" s="51"/>
      <c r="D112" s="51"/>
      <c r="E112" s="51"/>
      <c r="F112" s="51"/>
      <c r="G112" s="51"/>
      <c r="H112" s="51"/>
      <c r="I112" s="5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c r="AV112" s="51"/>
      <c r="AW112" s="51"/>
      <c r="AX112" s="51"/>
      <c r="AY112" s="51"/>
      <c r="AZ112" s="51"/>
      <c r="BA112" s="51"/>
    </row>
    <row r="113" spans="1:53" ht="15.75">
      <c r="A113" s="51"/>
      <c r="B113" s="51"/>
      <c r="C113" s="51"/>
      <c r="D113" s="51"/>
      <c r="E113" s="51"/>
      <c r="F113" s="51"/>
      <c r="G113" s="51"/>
      <c r="H113" s="51"/>
      <c r="I113" s="5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c r="AV113" s="51"/>
      <c r="AW113" s="51"/>
      <c r="AX113" s="51"/>
      <c r="AY113" s="51"/>
      <c r="AZ113" s="51"/>
      <c r="BA113" s="51"/>
    </row>
    <row r="114" spans="1:53" ht="15.75">
      <c r="A114" s="51"/>
      <c r="B114" s="51"/>
      <c r="C114" s="51"/>
      <c r="D114" s="51"/>
      <c r="E114" s="51"/>
      <c r="F114" s="51"/>
      <c r="G114" s="51"/>
      <c r="H114" s="51"/>
      <c r="I114" s="5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c r="AV114" s="51"/>
      <c r="AW114" s="51"/>
      <c r="AX114" s="51"/>
      <c r="AY114" s="51"/>
      <c r="AZ114" s="51"/>
      <c r="BA114" s="51"/>
    </row>
    <row r="115" spans="1:53" ht="15.75">
      <c r="A115" s="51"/>
      <c r="B115" s="51"/>
      <c r="C115" s="51"/>
      <c r="D115" s="51"/>
      <c r="E115" s="51"/>
      <c r="F115" s="51"/>
      <c r="G115" s="51"/>
      <c r="H115" s="51"/>
      <c r="I115" s="5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c r="AV115" s="51"/>
      <c r="AW115" s="51"/>
      <c r="AX115" s="51"/>
      <c r="AY115" s="51"/>
      <c r="AZ115" s="51"/>
      <c r="BA115" s="51"/>
    </row>
    <row r="116" spans="1:53" ht="15.75">
      <c r="A116" s="51"/>
      <c r="B116" s="51"/>
      <c r="C116" s="51"/>
      <c r="D116" s="51"/>
      <c r="E116" s="51"/>
      <c r="F116" s="51"/>
      <c r="G116" s="51"/>
      <c r="H116" s="51"/>
      <c r="I116" s="51"/>
      <c r="J116" s="51"/>
      <c r="K116" s="51"/>
      <c r="L116" s="51"/>
      <c r="M116" s="51"/>
      <c r="N116" s="51"/>
      <c r="O116" s="51"/>
      <c r="P116" s="51"/>
      <c r="Q116" s="51"/>
      <c r="R116" s="51"/>
      <c r="S116" s="51"/>
      <c r="T116" s="51"/>
      <c r="U116" s="51"/>
      <c r="V116" s="51"/>
      <c r="W116" s="51"/>
      <c r="X116" s="51"/>
      <c r="Y116" s="51"/>
      <c r="Z116" s="51"/>
      <c r="AA116" s="51"/>
      <c r="AB116" s="51"/>
      <c r="AC116" s="51"/>
      <c r="AD116" s="51"/>
      <c r="AE116" s="51"/>
      <c r="AF116" s="51"/>
      <c r="AG116" s="51"/>
      <c r="AH116" s="51"/>
      <c r="AI116" s="51"/>
      <c r="AJ116" s="51"/>
      <c r="AK116" s="51"/>
      <c r="AL116" s="51"/>
      <c r="AM116" s="51"/>
      <c r="AN116" s="51"/>
      <c r="AO116" s="51"/>
      <c r="AP116" s="51"/>
      <c r="AQ116" s="51"/>
      <c r="AR116" s="51"/>
      <c r="AS116" s="51"/>
      <c r="AT116" s="51"/>
      <c r="AU116" s="51"/>
      <c r="AV116" s="51"/>
      <c r="AW116" s="51"/>
      <c r="AX116" s="51"/>
      <c r="AY116" s="51"/>
      <c r="AZ116" s="51"/>
      <c r="BA116" s="51"/>
    </row>
    <row r="117" spans="1:53" ht="15.75">
      <c r="A117" s="51"/>
      <c r="B117" s="51"/>
      <c r="C117" s="51"/>
      <c r="D117" s="51"/>
      <c r="E117" s="51"/>
      <c r="F117" s="51"/>
      <c r="G117" s="51"/>
      <c r="H117" s="51"/>
      <c r="I117" s="51"/>
      <c r="J117" s="51"/>
      <c r="K117" s="51"/>
      <c r="L117" s="51"/>
      <c r="M117" s="51"/>
      <c r="N117" s="51"/>
      <c r="O117" s="51"/>
      <c r="P117" s="51"/>
      <c r="Q117" s="51"/>
      <c r="R117" s="51"/>
      <c r="S117" s="51"/>
      <c r="T117" s="51"/>
      <c r="U117" s="51"/>
      <c r="V117" s="51"/>
      <c r="W117" s="51"/>
      <c r="X117" s="51"/>
      <c r="Y117" s="51"/>
      <c r="Z117" s="51"/>
      <c r="AA117" s="51"/>
      <c r="AB117" s="51"/>
      <c r="AC117" s="51"/>
      <c r="AD117" s="51"/>
      <c r="AE117" s="51"/>
      <c r="AF117" s="51"/>
      <c r="AG117" s="51"/>
      <c r="AH117" s="51"/>
      <c r="AI117" s="51"/>
      <c r="AJ117" s="51"/>
      <c r="AK117" s="51"/>
      <c r="AL117" s="51"/>
      <c r="AM117" s="51"/>
      <c r="AN117" s="51"/>
      <c r="AO117" s="51"/>
      <c r="AP117" s="51"/>
      <c r="AQ117" s="51"/>
      <c r="AR117" s="51"/>
      <c r="AS117" s="51"/>
      <c r="AT117" s="51"/>
      <c r="AU117" s="51"/>
      <c r="AV117" s="51"/>
      <c r="AW117" s="51"/>
      <c r="AX117" s="51"/>
      <c r="AY117" s="51"/>
      <c r="AZ117" s="51"/>
      <c r="BA117" s="51"/>
    </row>
    <row r="118" spans="1:53" ht="15.75">
      <c r="A118" s="51"/>
      <c r="B118" s="51"/>
      <c r="C118" s="51"/>
      <c r="D118" s="51"/>
      <c r="E118" s="51"/>
      <c r="F118" s="51"/>
      <c r="G118" s="51"/>
      <c r="H118" s="51"/>
      <c r="I118" s="51"/>
      <c r="J118" s="51"/>
      <c r="K118" s="51"/>
      <c r="L118" s="51"/>
      <c r="M118" s="51"/>
      <c r="N118" s="51"/>
      <c r="O118" s="51"/>
      <c r="P118" s="51"/>
      <c r="Q118" s="51"/>
      <c r="R118" s="51"/>
      <c r="S118" s="51"/>
      <c r="T118" s="51"/>
      <c r="U118" s="51"/>
      <c r="V118" s="51"/>
      <c r="W118" s="51"/>
      <c r="X118" s="51"/>
      <c r="Y118" s="51"/>
      <c r="Z118" s="51"/>
      <c r="AA118" s="51"/>
      <c r="AB118" s="51"/>
      <c r="AC118" s="51"/>
      <c r="AD118" s="51"/>
      <c r="AE118" s="51"/>
      <c r="AF118" s="51"/>
      <c r="AG118" s="51"/>
      <c r="AH118" s="51"/>
      <c r="AI118" s="51"/>
      <c r="AJ118" s="51"/>
      <c r="AK118" s="51"/>
      <c r="AL118" s="51"/>
      <c r="AM118" s="51"/>
      <c r="AN118" s="51"/>
      <c r="AO118" s="51"/>
      <c r="AP118" s="51"/>
      <c r="AQ118" s="51"/>
      <c r="AR118" s="51"/>
      <c r="AS118" s="51"/>
      <c r="AT118" s="51"/>
      <c r="AU118" s="51"/>
      <c r="AV118" s="51"/>
      <c r="AW118" s="51"/>
      <c r="AX118" s="51"/>
      <c r="AY118" s="51"/>
      <c r="AZ118" s="51"/>
      <c r="BA118" s="51"/>
    </row>
    <row r="119" spans="1:53" ht="15.75">
      <c r="A119" s="51"/>
      <c r="B119" s="51"/>
      <c r="C119" s="51"/>
      <c r="D119" s="51"/>
      <c r="E119" s="51"/>
      <c r="F119" s="51"/>
      <c r="G119" s="51"/>
      <c r="H119" s="51"/>
      <c r="I119" s="51"/>
      <c r="J119" s="51"/>
      <c r="K119" s="51"/>
      <c r="L119" s="51"/>
      <c r="M119" s="51"/>
      <c r="N119" s="51"/>
      <c r="O119" s="51"/>
      <c r="P119" s="51"/>
      <c r="Q119" s="51"/>
      <c r="R119" s="51"/>
      <c r="S119" s="51"/>
      <c r="T119" s="51"/>
      <c r="U119" s="51"/>
      <c r="V119" s="51"/>
      <c r="W119" s="51"/>
      <c r="X119" s="51"/>
      <c r="Y119" s="51"/>
      <c r="Z119" s="51"/>
      <c r="AA119" s="51"/>
      <c r="AB119" s="51"/>
      <c r="AC119" s="51"/>
      <c r="AD119" s="51"/>
      <c r="AE119" s="51"/>
      <c r="AF119" s="51"/>
      <c r="AG119" s="51"/>
      <c r="AH119" s="51"/>
      <c r="AI119" s="51"/>
      <c r="AJ119" s="51"/>
      <c r="AK119" s="51"/>
      <c r="AL119" s="51"/>
      <c r="AM119" s="51"/>
      <c r="AN119" s="51"/>
      <c r="AO119" s="51"/>
      <c r="AP119" s="51"/>
      <c r="AQ119" s="51"/>
      <c r="AR119" s="51"/>
      <c r="AS119" s="51"/>
      <c r="AT119" s="51"/>
      <c r="AU119" s="51"/>
      <c r="AV119" s="51"/>
      <c r="AW119" s="51"/>
      <c r="AX119" s="51"/>
      <c r="AY119" s="51"/>
      <c r="AZ119" s="51"/>
      <c r="BA119" s="51"/>
    </row>
    <row r="120" spans="1:53" ht="15.75">
      <c r="A120" s="51"/>
      <c r="B120" s="51"/>
      <c r="C120" s="51"/>
      <c r="D120" s="51"/>
      <c r="E120" s="51"/>
      <c r="F120" s="51"/>
      <c r="G120" s="51"/>
      <c r="H120" s="51"/>
      <c r="I120" s="51"/>
      <c r="J120" s="51"/>
      <c r="K120" s="51"/>
      <c r="L120" s="51"/>
      <c r="M120" s="51"/>
      <c r="N120" s="51"/>
      <c r="O120" s="51"/>
      <c r="P120" s="51"/>
      <c r="Q120" s="51"/>
      <c r="R120" s="51"/>
      <c r="S120" s="51"/>
      <c r="T120" s="51"/>
      <c r="U120" s="51"/>
      <c r="V120" s="51"/>
      <c r="W120" s="51"/>
      <c r="X120" s="51"/>
      <c r="Y120" s="51"/>
      <c r="Z120" s="51"/>
      <c r="AA120" s="51"/>
      <c r="AB120" s="51"/>
      <c r="AC120" s="51"/>
      <c r="AD120" s="51"/>
      <c r="AE120" s="51"/>
      <c r="AF120" s="51"/>
      <c r="AG120" s="51"/>
      <c r="AH120" s="51"/>
      <c r="AI120" s="51"/>
      <c r="AJ120" s="51"/>
      <c r="AK120" s="51"/>
      <c r="AL120" s="51"/>
      <c r="AM120" s="51"/>
      <c r="AN120" s="51"/>
      <c r="AO120" s="51"/>
      <c r="AP120" s="51"/>
      <c r="AQ120" s="51"/>
      <c r="AR120" s="51"/>
      <c r="AS120" s="51"/>
      <c r="AT120" s="51"/>
      <c r="AU120" s="51"/>
      <c r="AV120" s="51"/>
      <c r="AW120" s="51"/>
      <c r="AX120" s="51"/>
      <c r="AY120" s="51"/>
      <c r="AZ120" s="51"/>
      <c r="BA120" s="51"/>
    </row>
    <row r="121" spans="1:53" ht="15.75">
      <c r="A121" s="51"/>
      <c r="B121" s="51"/>
      <c r="C121" s="51"/>
      <c r="D121" s="51"/>
      <c r="E121" s="51"/>
      <c r="F121" s="51"/>
      <c r="G121" s="51"/>
      <c r="H121" s="51"/>
      <c r="I121" s="51"/>
      <c r="J121" s="51"/>
      <c r="K121" s="51"/>
      <c r="L121" s="51"/>
      <c r="M121" s="51"/>
      <c r="N121" s="51"/>
      <c r="O121" s="51"/>
      <c r="P121" s="51"/>
      <c r="Q121" s="51"/>
      <c r="R121" s="51"/>
      <c r="S121" s="51"/>
      <c r="T121" s="51"/>
      <c r="U121" s="51"/>
      <c r="V121" s="51"/>
      <c r="W121" s="51"/>
      <c r="X121" s="51"/>
      <c r="Y121" s="51"/>
      <c r="Z121" s="51"/>
      <c r="AA121" s="51"/>
      <c r="AB121" s="51"/>
      <c r="AC121" s="51"/>
      <c r="AD121" s="51"/>
      <c r="AE121" s="51"/>
      <c r="AF121" s="51"/>
      <c r="AG121" s="51"/>
      <c r="AH121" s="51"/>
      <c r="AI121" s="51"/>
      <c r="AJ121" s="51"/>
      <c r="AK121" s="51"/>
      <c r="AL121" s="51"/>
      <c r="AM121" s="51"/>
      <c r="AN121" s="51"/>
      <c r="AO121" s="51"/>
      <c r="AP121" s="51"/>
      <c r="AQ121" s="51"/>
      <c r="AR121" s="51"/>
      <c r="AS121" s="51"/>
      <c r="AT121" s="51"/>
      <c r="AU121" s="51"/>
      <c r="AV121" s="51"/>
      <c r="AW121" s="51"/>
      <c r="AX121" s="51"/>
      <c r="AY121" s="51"/>
      <c r="AZ121" s="51"/>
      <c r="BA121" s="51"/>
    </row>
    <row r="122" spans="1:53" ht="15.75">
      <c r="A122" s="51"/>
      <c r="B122" s="51"/>
      <c r="C122" s="51"/>
      <c r="D122" s="51"/>
      <c r="E122" s="51"/>
      <c r="F122" s="51"/>
      <c r="G122" s="51"/>
      <c r="H122" s="51"/>
      <c r="I122" s="51"/>
      <c r="J122" s="51"/>
      <c r="K122" s="51"/>
      <c r="L122" s="51"/>
      <c r="M122" s="51"/>
      <c r="N122" s="51"/>
      <c r="O122" s="51"/>
      <c r="P122" s="51"/>
      <c r="Q122" s="51"/>
      <c r="R122" s="51"/>
      <c r="S122" s="51"/>
      <c r="T122" s="51"/>
      <c r="U122" s="51"/>
      <c r="V122" s="51"/>
      <c r="W122" s="51"/>
      <c r="X122" s="51"/>
      <c r="Y122" s="51"/>
      <c r="Z122" s="51"/>
      <c r="AA122" s="51"/>
      <c r="AB122" s="51"/>
      <c r="AC122" s="51"/>
      <c r="AD122" s="51"/>
      <c r="AE122" s="51"/>
      <c r="AF122" s="51"/>
      <c r="AG122" s="51"/>
      <c r="AH122" s="51"/>
      <c r="AI122" s="51"/>
      <c r="AJ122" s="51"/>
      <c r="AK122" s="51"/>
      <c r="AL122" s="51"/>
      <c r="AM122" s="51"/>
      <c r="AN122" s="51"/>
      <c r="AO122" s="51"/>
      <c r="AP122" s="51"/>
      <c r="AQ122" s="51"/>
      <c r="AR122" s="51"/>
      <c r="AS122" s="51"/>
      <c r="AT122" s="51"/>
      <c r="AU122" s="51"/>
      <c r="AV122" s="51"/>
      <c r="AW122" s="51"/>
      <c r="AX122" s="51"/>
      <c r="AY122" s="51"/>
      <c r="AZ122" s="51"/>
      <c r="BA122" s="51"/>
    </row>
  </sheetData>
  <phoneticPr fontId="8" type="noConversion"/>
  <dataValidations count="14">
    <dataValidation type="list" allowBlank="1" showInputMessage="1" sqref="C12">
      <formula1>'[4]6755_coolers'!A2:A134</formula1>
    </dataValidation>
    <dataValidation type="list" allowBlank="1" showInputMessage="1" showErrorMessage="1" sqref="C13:C15 AA20:AA22">
      <formula1>"NULL, CPU0 loading(%), Wifi usage(Kb/s), EXIT, mtktscpu, mtktsabb, mtktspmic, mtktsbattery, mtktspa, mtktswmt, mtktsAP, mtktsbuck, mtktsbattery2, mtktsxtal"</formula1>
    </dataValidation>
    <dataValidation type="list" allowBlank="1" showInputMessage="1" sqref="AA5">
      <formula1>'[3]6755_coolers'!A2:A134</formula1>
    </dataValidation>
    <dataValidation type="list" allowBlank="1" showInputMessage="1" sqref="AE5">
      <formula1>'[2]6755_coolers'!A2:A134</formula1>
    </dataValidation>
    <dataValidation type="list" allowBlank="1" showInputMessage="1" showErrorMessage="1" sqref="AE1">
      <formula1>'[2]6755_tz'!A2:A97</formula1>
    </dataValidation>
    <dataValidation type="list" allowBlank="1" showInputMessage="1" showErrorMessage="1" sqref="AA41:AA43 AY20:AY22 AE55:AE57 AE48:AE50 AE41:AE43 AE34:AE36 AE27:AE29 AE20:AE22 AE69:AE71 AE13:AE15 AE62:AE64 AI69:AI71 AU62:AU64 O13:O15 O69:O71 O20:O22 O27:O29 O34:O36 O41:O43 O6:O8 O48:O50 O55:O57 O62:O64 C69:C71 C34:C36 C6:C8 C48:C50 C55:C57 C62:C64 S13:S15 S69:S71 S20:S22 S27:S29 S34:S36 S41:S43 S6:S8 S48:S50 S55:S57 S62:S64 AQ6:AQ8 G69:G71 G20:G22 K69:K71 G27:G29 G34:G36 G41:G43 AY55:AY57 K34:K36 G6:G8 G48:G50 G55:G57 K41:K43 AA6:AA8 G62:G64 K48:K50 K55:K57 K62:K64 W13:W15 W69:W71 W20:W22 W27:W29 W34:W36 W41:W43 W6:W8 W48:W50 W55:W57 W62:W64 C27:C29 AU6:AU8 AM6:AM8 G13:G15 AA55:AA57 AA48:AA50 AI62:AI64 AI13:AI15 C20:C22 AY62:AY64 AA69:AA71 AY69:AY71 AA62:AA64 AY48:AY50 AY41:AY43 AY34:AY36 AY27:AY29 AY13:AY15 AA27:AA29 AY6:AY8 C41:C43 AI20:AI22 AE6:AE8 AM55:AM57 AM48:AM50 AM41:AM43 AM34:AM36 AM27:AM29 AM20:AM22 AM69:AM71 AM13:AM15 AM62:AM64 AA34:AA36 AQ55:AQ57 AQ48:AQ50 AQ41:AQ43 AQ34:AQ36 AQ27:AQ29 AQ20:AQ22 AQ69:AQ71 AQ13:AQ15 AQ62:AQ64 AI48:AI50 AU55:AU57 AU48:AU50 AU41:AU43 AU34:AU36 AU27:AU29 AU20:AU22 AU69:AU71 AU13:AU15 AI6:AI8 AI55:AI57 AI41:AI43 AI34:AI36 AI27:AI29 AA13:AA15 K13:K15 K20:K22 K6:K8 K27:K29">
      <formula1>"NULL, CPU0 loading(%), Wifi usage(Kb/s), &lt; Mobile usage(Kb/s), EXIT, mtktscpu, mtktsabb, mtktspmic, mtktsbattery, mtktspa, mtktswmt, mtktsAP, mtktsbuck, mtktsbattery2, mtktsxtal"</formula1>
    </dataValidation>
    <dataValidation type="list" allowBlank="1" showInputMessage="1" showErrorMessage="1" sqref="T77 D1 H1 T1 X1 P1 AB1 X77 AJ1 AN1 AR1 H77 L77 AZ77 AF1 AB77 P77 D77 AV1 AZ1 AV77 AF77 AJ77 AN77 AR77 L1">
      <formula1>"ENABLE,DISABLE"</formula1>
    </dataValidation>
    <dataValidation type="decimal" allowBlank="1" showInputMessage="1" showErrorMessage="1" errorTitle="Invalid" error="Must be 0 or 1" promptTitle="kernel log" prompt="[1, max step]" sqref="AN78 AR78 AV78">
      <formula1>1</formula1>
      <formula2>5</formula2>
    </dataValidation>
    <dataValidation type="decimal" allowBlank="1" showInputMessage="1" showErrorMessage="1" errorTitle="Invalid" error="Must between [-1, 65535]" promptTitle="Range" prompt="0 or between [100, 25500]" sqref="AN79:AN80 AR79:AR80 AV79:AV80 AJ79:AJ86">
      <formula1>0</formula1>
      <formula2>25500</formula2>
    </dataValidation>
    <dataValidation type="decimal" allowBlank="1" showInputMessage="1" showErrorMessage="1" errorTitle="Invalid" error="Must be 0 or 1" promptTitle="kernel log" prompt="0, off (default)_x000a_1, on" sqref="L78 AJ78">
      <formula1>0</formula1>
      <formula2>1</formula2>
    </dataValidation>
    <dataValidation type="decimal" allowBlank="1" showInputMessage="1" showErrorMessage="1" errorTitle="Invalid" error="Must between [-1, 65535]" promptTitle="Range" prompt="between [-1, 65535]" sqref="L79:L81">
      <formula1>-1</formula1>
      <formula2>65535</formula2>
    </dataValidation>
    <dataValidation type="list" allowBlank="1" showInputMessage="1" showErrorMessage="1" sqref="AU1 C1 G1 AY1 O1 S1 W1 AI1 AA1 AM1 AQ1 K1">
      <formula1>'6755_tz'!A2:A97</formula1>
    </dataValidation>
    <dataValidation type="list" allowBlank="1" showInputMessage="1" sqref="AE61 AE47 AE40 AE33 AE26 AE19 AE12 AE68 AI26 AU5 C5 C33 C47 C54 C61 C68 AU12 G5 G19 G26 G33 G40 G47 G54 G61 G68 AY19 AU68 AY26 AQ5 K33 K40 K47 K54 K61 K68 O12 O5 O19 O26 O33 O40 O47 O54 O61 O68 S12 S5 S19 S26 S33 S40 S47 S54 S61 S68 W12 W5 W19 W26 W33 W40 W47 W54 W61 W68 C40 AY47 G12 AA68 AA61 AA54 AA47 AI19 C19 AY12 AY68 C26 AY40 AY61 AY54 AA12 AA33 AA40 AY33 AY5 AE54 AI12 AM5 AM61 AM54 AM47 AM40 AM33 AM26 AM19 AM12 AM68 AA26 AQ61 AQ54 AQ47 AQ40 AQ33 AQ26 AQ19 AQ12 AQ68 AI47 AU61 AU54 AU47 AU40 AU33 AU26 AU19 AI5 AI61 AI54 AI40 AI33 AI68 K19 K12 K5 K26">
      <formula1>'6755_coolers'!A2:A137</formula1>
    </dataValidation>
    <dataValidation type="list" allowBlank="1" showInputMessage="1" sqref="AA19">
      <formula1>'[1]6735_coolers'!A2:A134</formula1>
    </dataValidation>
  </dataValidations>
  <pageMargins left="0.7" right="0.7" top="0.75" bottom="0.75" header="0.3" footer="0.3"/>
  <pageSetup paperSize="9" orientation="portrait" r:id="rId1"/>
  <legacyDrawing r:id="rId2"/>
</worksheet>
</file>

<file path=xl/worksheets/sheet9.xml><?xml version="1.0" encoding="utf-8"?>
<worksheet xmlns="http://schemas.openxmlformats.org/spreadsheetml/2006/main" xmlns:r="http://schemas.openxmlformats.org/officeDocument/2006/relationships">
  <sheetPr codeName="Sheet84">
    <tabColor rgb="FFFF0000"/>
  </sheetPr>
  <dimension ref="A1:BA122"/>
  <sheetViews>
    <sheetView zoomScale="90" zoomScaleNormal="90" workbookViewId="0">
      <selection activeCell="K1" sqref="K1:L29"/>
    </sheetView>
  </sheetViews>
  <sheetFormatPr defaultRowHeight="14.2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9.140625" style="7"/>
    <col min="54" max="16384" width="9.140625" style="1"/>
  </cols>
  <sheetData>
    <row r="1" spans="1:53" ht="57.75" customHeight="1">
      <c r="A1" s="1" t="s">
        <v>182</v>
      </c>
      <c r="B1" s="2" t="s">
        <v>35</v>
      </c>
      <c r="C1" s="3" t="s">
        <v>23</v>
      </c>
      <c r="D1" s="4" t="s">
        <v>36</v>
      </c>
      <c r="E1" s="5"/>
      <c r="F1" s="2" t="s">
        <v>35</v>
      </c>
      <c r="G1" s="3" t="s">
        <v>24</v>
      </c>
      <c r="H1" s="4" t="s">
        <v>36</v>
      </c>
      <c r="I1" s="5"/>
      <c r="J1" s="2" t="s">
        <v>35</v>
      </c>
      <c r="K1" s="3" t="s">
        <v>25</v>
      </c>
      <c r="L1" s="4" t="s">
        <v>36</v>
      </c>
      <c r="M1" s="6"/>
      <c r="N1" s="2" t="s">
        <v>35</v>
      </c>
      <c r="O1" s="3" t="s">
        <v>26</v>
      </c>
      <c r="P1" s="4" t="s">
        <v>36</v>
      </c>
      <c r="Q1" s="6"/>
      <c r="R1" s="2" t="s">
        <v>35</v>
      </c>
      <c r="S1" s="3" t="s">
        <v>34</v>
      </c>
      <c r="T1" s="4" t="s">
        <v>36</v>
      </c>
      <c r="U1" s="6"/>
      <c r="V1" s="2" t="s">
        <v>35</v>
      </c>
      <c r="W1" s="3" t="s">
        <v>27</v>
      </c>
      <c r="X1" s="4" t="s">
        <v>36</v>
      </c>
      <c r="Y1" s="6"/>
      <c r="Z1" s="2" t="s">
        <v>35</v>
      </c>
      <c r="AA1" s="3" t="s">
        <v>68</v>
      </c>
      <c r="AB1" s="4" t="s">
        <v>36</v>
      </c>
      <c r="AC1" s="6"/>
      <c r="AD1" s="2" t="s">
        <v>35</v>
      </c>
      <c r="AE1" s="3" t="s">
        <v>69</v>
      </c>
      <c r="AF1" s="4" t="s">
        <v>36</v>
      </c>
      <c r="AG1" s="6"/>
      <c r="AH1" s="2" t="s">
        <v>35</v>
      </c>
      <c r="AI1" s="3" t="s">
        <v>132</v>
      </c>
      <c r="AJ1" s="4" t="s">
        <v>36</v>
      </c>
      <c r="AK1" s="6"/>
      <c r="AL1" s="2" t="s">
        <v>35</v>
      </c>
      <c r="AM1" s="3" t="s">
        <v>128</v>
      </c>
      <c r="AN1" s="4" t="s">
        <v>36</v>
      </c>
      <c r="AO1" s="6"/>
      <c r="AP1" s="2" t="s">
        <v>35</v>
      </c>
      <c r="AQ1" s="3" t="s">
        <v>233</v>
      </c>
      <c r="AR1" s="4" t="s">
        <v>36</v>
      </c>
      <c r="AS1" s="6"/>
      <c r="AT1" s="2" t="s">
        <v>35</v>
      </c>
      <c r="AU1" s="3" t="s">
        <v>234</v>
      </c>
      <c r="AV1" s="4" t="s">
        <v>36</v>
      </c>
      <c r="AW1" s="6"/>
      <c r="AX1" s="2" t="s">
        <v>35</v>
      </c>
      <c r="AY1" s="3" t="s">
        <v>129</v>
      </c>
      <c r="AZ1" s="4" t="s">
        <v>36</v>
      </c>
      <c r="BA1" s="51"/>
    </row>
    <row r="2" spans="1:53" ht="30.75" customHeight="1">
      <c r="B2" s="2" t="s">
        <v>9</v>
      </c>
      <c r="C2" s="3">
        <v>2</v>
      </c>
      <c r="D2" s="8"/>
      <c r="E2" s="9"/>
      <c r="F2" s="2" t="s">
        <v>9</v>
      </c>
      <c r="G2" s="3">
        <v>1</v>
      </c>
      <c r="H2" s="8"/>
      <c r="I2" s="10"/>
      <c r="J2" s="2" t="s">
        <v>9</v>
      </c>
      <c r="K2" s="3">
        <v>1</v>
      </c>
      <c r="L2" s="8"/>
      <c r="M2" s="10"/>
      <c r="N2" s="2" t="s">
        <v>9</v>
      </c>
      <c r="O2" s="3">
        <v>1</v>
      </c>
      <c r="P2" s="8"/>
      <c r="Q2" s="10"/>
      <c r="R2" s="2" t="s">
        <v>9</v>
      </c>
      <c r="S2" s="3">
        <v>1</v>
      </c>
      <c r="T2" s="8"/>
      <c r="U2" s="10"/>
      <c r="V2" s="2" t="s">
        <v>9</v>
      </c>
      <c r="W2" s="3">
        <v>1</v>
      </c>
      <c r="X2" s="8"/>
      <c r="Y2" s="10"/>
      <c r="Z2" s="2" t="s">
        <v>9</v>
      </c>
      <c r="AA2" s="3">
        <v>6</v>
      </c>
      <c r="AB2" s="8"/>
      <c r="AC2" s="10"/>
      <c r="AD2" s="2" t="s">
        <v>9</v>
      </c>
      <c r="AE2" s="3">
        <v>1</v>
      </c>
      <c r="AF2" s="8"/>
      <c r="AG2" s="10"/>
      <c r="AH2" s="2" t="s">
        <v>9</v>
      </c>
      <c r="AI2" s="3">
        <v>7</v>
      </c>
      <c r="AJ2" s="46"/>
      <c r="AK2" s="10"/>
      <c r="AL2" s="2" t="s">
        <v>9</v>
      </c>
      <c r="AM2" s="3">
        <v>0</v>
      </c>
      <c r="AN2" s="8"/>
      <c r="AO2" s="10"/>
      <c r="AP2" s="2" t="s">
        <v>9</v>
      </c>
      <c r="AQ2" s="3">
        <v>0</v>
      </c>
      <c r="AR2" s="8"/>
      <c r="AS2" s="10"/>
      <c r="AT2" s="2" t="s">
        <v>9</v>
      </c>
      <c r="AU2" s="3">
        <v>0</v>
      </c>
      <c r="AV2" s="8"/>
      <c r="AW2" s="10"/>
      <c r="AX2" s="2" t="s">
        <v>9</v>
      </c>
      <c r="AY2" s="3">
        <v>0</v>
      </c>
      <c r="AZ2" s="8"/>
      <c r="BA2" s="51"/>
    </row>
    <row r="3" spans="1:53" ht="15" customHeight="1">
      <c r="A3" s="11"/>
      <c r="B3" s="12" t="s">
        <v>7</v>
      </c>
      <c r="C3" s="13">
        <v>117000</v>
      </c>
      <c r="D3" s="14"/>
      <c r="E3" s="9"/>
      <c r="F3" s="12" t="s">
        <v>7</v>
      </c>
      <c r="G3" s="13">
        <v>145000</v>
      </c>
      <c r="H3" s="14"/>
      <c r="I3" s="10"/>
      <c r="J3" s="12" t="s">
        <v>7</v>
      </c>
      <c r="K3" s="13">
        <v>60000</v>
      </c>
      <c r="L3" s="14"/>
      <c r="M3" s="10"/>
      <c r="N3" s="12" t="s">
        <v>7</v>
      </c>
      <c r="O3" s="13">
        <v>120000</v>
      </c>
      <c r="P3" s="14"/>
      <c r="Q3" s="10"/>
      <c r="R3" s="12" t="s">
        <v>7</v>
      </c>
      <c r="S3" s="13">
        <v>117000</v>
      </c>
      <c r="T3" s="14"/>
      <c r="U3" s="10"/>
      <c r="V3" s="12" t="s">
        <v>7</v>
      </c>
      <c r="W3" s="13">
        <v>120000</v>
      </c>
      <c r="X3" s="14"/>
      <c r="Y3" s="10"/>
      <c r="Z3" s="12" t="s">
        <v>7</v>
      </c>
      <c r="AA3" s="13">
        <v>100000</v>
      </c>
      <c r="AB3" s="14"/>
      <c r="AC3" s="10"/>
      <c r="AD3" s="12" t="s">
        <v>7</v>
      </c>
      <c r="AE3" s="13">
        <v>120000</v>
      </c>
      <c r="AF3" s="14"/>
      <c r="AG3" s="10"/>
      <c r="AH3" s="12" t="s">
        <v>7</v>
      </c>
      <c r="AI3" s="13">
        <v>120000</v>
      </c>
      <c r="AJ3" s="43"/>
      <c r="AK3" s="10"/>
      <c r="AL3" s="12" t="s">
        <v>7</v>
      </c>
      <c r="AM3" s="13">
        <v>0</v>
      </c>
      <c r="AN3" s="14"/>
      <c r="AO3" s="10"/>
      <c r="AP3" s="12" t="s">
        <v>7</v>
      </c>
      <c r="AQ3" s="13">
        <v>0</v>
      </c>
      <c r="AR3" s="14"/>
      <c r="AS3" s="10"/>
      <c r="AT3" s="12" t="s">
        <v>7</v>
      </c>
      <c r="AU3" s="13">
        <v>0</v>
      </c>
      <c r="AV3" s="14"/>
      <c r="AW3" s="10"/>
      <c r="AX3" s="12" t="s">
        <v>7</v>
      </c>
      <c r="AY3" s="13">
        <v>0</v>
      </c>
      <c r="AZ3" s="14"/>
      <c r="BA3" s="51"/>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15">
        <v>0</v>
      </c>
      <c r="AJ4" s="43"/>
      <c r="AK4" s="10"/>
      <c r="AL4" s="12" t="s">
        <v>6</v>
      </c>
      <c r="AM4" s="15">
        <v>0</v>
      </c>
      <c r="AN4" s="14"/>
      <c r="AO4" s="10"/>
      <c r="AP4" s="12" t="s">
        <v>6</v>
      </c>
      <c r="AQ4" s="15">
        <v>0</v>
      </c>
      <c r="AR4" s="14"/>
      <c r="AS4" s="10"/>
      <c r="AT4" s="12" t="s">
        <v>6</v>
      </c>
      <c r="AU4" s="15">
        <v>0</v>
      </c>
      <c r="AV4" s="14"/>
      <c r="AW4" s="10"/>
      <c r="AX4" s="12" t="s">
        <v>6</v>
      </c>
      <c r="AY4" s="15">
        <v>0</v>
      </c>
      <c r="AZ4" s="14"/>
      <c r="BA4" s="51"/>
    </row>
    <row r="5" spans="1:53" ht="15" customHeight="1">
      <c r="A5" s="11"/>
      <c r="B5" s="12" t="s">
        <v>5</v>
      </c>
      <c r="C5" s="13" t="s">
        <v>15</v>
      </c>
      <c r="D5" s="14"/>
      <c r="E5" s="9"/>
      <c r="F5" s="12" t="s">
        <v>5</v>
      </c>
      <c r="G5" s="13" t="s">
        <v>1</v>
      </c>
      <c r="H5" s="14"/>
      <c r="I5" s="10"/>
      <c r="J5" s="12" t="s">
        <v>5</v>
      </c>
      <c r="K5" s="13" t="s">
        <v>2</v>
      </c>
      <c r="L5" s="14"/>
      <c r="M5" s="10"/>
      <c r="N5" s="12" t="s">
        <v>5</v>
      </c>
      <c r="O5" s="13" t="s">
        <v>3</v>
      </c>
      <c r="P5" s="14"/>
      <c r="Q5" s="10"/>
      <c r="R5" s="12" t="s">
        <v>5</v>
      </c>
      <c r="S5" s="13" t="s">
        <v>0</v>
      </c>
      <c r="T5" s="14"/>
      <c r="U5" s="10"/>
      <c r="V5" s="12" t="s">
        <v>5</v>
      </c>
      <c r="W5" s="13" t="s">
        <v>16</v>
      </c>
      <c r="X5" s="14"/>
      <c r="Y5" s="10"/>
      <c r="Z5" s="12" t="s">
        <v>5</v>
      </c>
      <c r="AA5" s="13" t="s">
        <v>17</v>
      </c>
      <c r="AB5" s="14"/>
      <c r="AC5" s="10"/>
      <c r="AD5" s="12" t="s">
        <v>5</v>
      </c>
      <c r="AE5" s="13" t="s">
        <v>108</v>
      </c>
      <c r="AF5" s="14"/>
      <c r="AG5" s="10"/>
      <c r="AH5" s="12" t="s">
        <v>5</v>
      </c>
      <c r="AI5" s="13" t="s">
        <v>108</v>
      </c>
      <c r="AJ5" s="43"/>
      <c r="AK5" s="10"/>
      <c r="AL5" s="12" t="s">
        <v>5</v>
      </c>
      <c r="AM5" s="13" t="s">
        <v>4</v>
      </c>
      <c r="AN5" s="14"/>
      <c r="AO5" s="10"/>
      <c r="AP5" s="12" t="s">
        <v>5</v>
      </c>
      <c r="AQ5" s="13" t="s">
        <v>4</v>
      </c>
      <c r="AR5" s="14"/>
      <c r="AS5" s="10"/>
      <c r="AT5" s="12" t="s">
        <v>5</v>
      </c>
      <c r="AU5" s="13" t="s">
        <v>4</v>
      </c>
      <c r="AV5" s="14"/>
      <c r="AW5" s="10"/>
      <c r="AX5" s="12" t="s">
        <v>5</v>
      </c>
      <c r="AY5" s="13" t="s">
        <v>4</v>
      </c>
      <c r="AZ5" s="14"/>
      <c r="BA5" s="51"/>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4">
        <v>0</v>
      </c>
      <c r="AG6" s="10"/>
      <c r="AH6" s="12" t="s">
        <v>11</v>
      </c>
      <c r="AI6" s="15" t="s">
        <v>13</v>
      </c>
      <c r="AJ6" s="15">
        <v>0</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s="51"/>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s="51"/>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s="51"/>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s="51"/>
    </row>
    <row r="10" spans="1:53" ht="15" customHeight="1">
      <c r="A10" s="11"/>
      <c r="B10" s="12" t="s">
        <v>7</v>
      </c>
      <c r="C10" s="44">
        <v>68000</v>
      </c>
      <c r="D10" s="14"/>
      <c r="E10" s="10"/>
      <c r="F10" s="12" t="s">
        <v>7</v>
      </c>
      <c r="G10" s="13">
        <v>0</v>
      </c>
      <c r="H10" s="14"/>
      <c r="I10" s="10"/>
      <c r="J10" s="12" t="s">
        <v>7</v>
      </c>
      <c r="K10" s="13">
        <v>0</v>
      </c>
      <c r="L10" s="14"/>
      <c r="M10" s="10"/>
      <c r="N10" s="12" t="s">
        <v>7</v>
      </c>
      <c r="O10" s="13">
        <v>0</v>
      </c>
      <c r="P10" s="14"/>
      <c r="Q10" s="10"/>
      <c r="R10" s="12" t="s">
        <v>7</v>
      </c>
      <c r="S10" s="13">
        <v>0</v>
      </c>
      <c r="T10" s="14"/>
      <c r="U10" s="10"/>
      <c r="V10" s="12" t="s">
        <v>7</v>
      </c>
      <c r="W10" s="13">
        <v>0</v>
      </c>
      <c r="X10" s="14"/>
      <c r="Y10" s="10"/>
      <c r="Z10" s="12" t="s">
        <v>7</v>
      </c>
      <c r="AA10" s="50">
        <v>90000</v>
      </c>
      <c r="AB10" s="14"/>
      <c r="AC10" s="10"/>
      <c r="AD10" s="12" t="s">
        <v>7</v>
      </c>
      <c r="AE10" s="13">
        <v>0</v>
      </c>
      <c r="AF10" s="14"/>
      <c r="AG10" s="10"/>
      <c r="AH10" s="12" t="s">
        <v>7</v>
      </c>
      <c r="AI10" s="44">
        <v>85000</v>
      </c>
      <c r="AJ10" s="14"/>
      <c r="AK10" s="10"/>
      <c r="AL10" s="12" t="s">
        <v>7</v>
      </c>
      <c r="AM10" s="13">
        <v>0</v>
      </c>
      <c r="AN10" s="14"/>
      <c r="AO10" s="10"/>
      <c r="AP10" s="12" t="s">
        <v>7</v>
      </c>
      <c r="AQ10" s="13">
        <v>0</v>
      </c>
      <c r="AR10" s="14"/>
      <c r="AS10" s="10"/>
      <c r="AT10" s="12" t="s">
        <v>7</v>
      </c>
      <c r="AU10" s="13">
        <v>0</v>
      </c>
      <c r="AV10" s="14"/>
      <c r="AW10" s="10"/>
      <c r="AX10" s="12" t="s">
        <v>7</v>
      </c>
      <c r="AY10" s="13">
        <v>0</v>
      </c>
      <c r="AZ10" s="14"/>
      <c r="BA10" s="51"/>
    </row>
    <row r="11" spans="1:53" ht="15" customHeight="1">
      <c r="A11" s="11"/>
      <c r="B11" s="12" t="s">
        <v>6</v>
      </c>
      <c r="C11" s="15">
        <v>0</v>
      </c>
      <c r="D11" s="14"/>
      <c r="E11" s="10"/>
      <c r="F11" s="12" t="s">
        <v>6</v>
      </c>
      <c r="G11" s="15">
        <v>0</v>
      </c>
      <c r="H11" s="14"/>
      <c r="I11" s="10"/>
      <c r="J11" s="12" t="s">
        <v>6</v>
      </c>
      <c r="K11" s="15">
        <v>0</v>
      </c>
      <c r="L11" s="14"/>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15">
        <v>0</v>
      </c>
      <c r="AJ11" s="14"/>
      <c r="AK11" s="10"/>
      <c r="AL11" s="12" t="s">
        <v>6</v>
      </c>
      <c r="AM11" s="15">
        <v>0</v>
      </c>
      <c r="AN11" s="14"/>
      <c r="AO11" s="10"/>
      <c r="AP11" s="12" t="s">
        <v>6</v>
      </c>
      <c r="AQ11" s="15">
        <v>0</v>
      </c>
      <c r="AR11" s="14"/>
      <c r="AS11" s="10"/>
      <c r="AT11" s="12" t="s">
        <v>6</v>
      </c>
      <c r="AU11" s="15">
        <v>0</v>
      </c>
      <c r="AV11" s="14"/>
      <c r="AW11" s="10"/>
      <c r="AX11" s="12" t="s">
        <v>6</v>
      </c>
      <c r="AY11" s="15">
        <v>0</v>
      </c>
      <c r="AZ11" s="14"/>
      <c r="BA11" s="51"/>
    </row>
    <row r="12" spans="1:53" ht="15" customHeight="1">
      <c r="A12" s="11"/>
      <c r="B12" s="12" t="s">
        <v>5</v>
      </c>
      <c r="C12" s="13" t="s">
        <v>51</v>
      </c>
      <c r="D12" s="14"/>
      <c r="E12" s="10"/>
      <c r="F12" s="12" t="s">
        <v>5</v>
      </c>
      <c r="G12" s="13" t="s">
        <v>4</v>
      </c>
      <c r="H12" s="14"/>
      <c r="I12" s="10"/>
      <c r="J12" s="12" t="s">
        <v>5</v>
      </c>
      <c r="K12" s="13" t="s">
        <v>4</v>
      </c>
      <c r="L12" s="14"/>
      <c r="M12" s="10"/>
      <c r="N12" s="12" t="s">
        <v>5</v>
      </c>
      <c r="O12" s="13" t="s">
        <v>4</v>
      </c>
      <c r="P12" s="14"/>
      <c r="Q12" s="10"/>
      <c r="R12" s="12" t="s">
        <v>5</v>
      </c>
      <c r="S12" s="13" t="s">
        <v>4</v>
      </c>
      <c r="T12" s="14"/>
      <c r="U12" s="10"/>
      <c r="V12" s="12" t="s">
        <v>5</v>
      </c>
      <c r="W12" s="13" t="s">
        <v>4</v>
      </c>
      <c r="X12" s="14"/>
      <c r="Y12" s="10"/>
      <c r="Z12" s="12" t="s">
        <v>5</v>
      </c>
      <c r="AA12" s="50" t="s">
        <v>107</v>
      </c>
      <c r="AB12" s="14"/>
      <c r="AC12" s="10"/>
      <c r="AD12" s="12" t="s">
        <v>5</v>
      </c>
      <c r="AE12" s="13" t="s">
        <v>4</v>
      </c>
      <c r="AF12" s="14"/>
      <c r="AG12" s="10"/>
      <c r="AH12" s="12" t="s">
        <v>5</v>
      </c>
      <c r="AI12" s="54" t="s">
        <v>253</v>
      </c>
      <c r="AJ12" s="14"/>
      <c r="AK12" s="10"/>
      <c r="AL12" s="12" t="s">
        <v>5</v>
      </c>
      <c r="AM12" s="13" t="s">
        <v>4</v>
      </c>
      <c r="AN12" s="14"/>
      <c r="AO12" s="10"/>
      <c r="AP12" s="12" t="s">
        <v>5</v>
      </c>
      <c r="AQ12" s="13" t="s">
        <v>4</v>
      </c>
      <c r="AR12" s="14"/>
      <c r="AS12" s="10"/>
      <c r="AT12" s="12" t="s">
        <v>5</v>
      </c>
      <c r="AU12" s="13" t="s">
        <v>4</v>
      </c>
      <c r="AV12" s="14"/>
      <c r="AW12" s="10"/>
      <c r="AX12" s="12" t="s">
        <v>5</v>
      </c>
      <c r="AY12" s="13" t="s">
        <v>4</v>
      </c>
      <c r="AZ12" s="14"/>
      <c r="BA12" s="51"/>
    </row>
    <row r="13" spans="1:53" ht="15" customHeight="1">
      <c r="A13" s="11"/>
      <c r="B13" s="12" t="s">
        <v>11</v>
      </c>
      <c r="C13" s="15" t="s">
        <v>131</v>
      </c>
      <c r="D13" s="14">
        <v>6000</v>
      </c>
      <c r="E13" s="9"/>
      <c r="F13" s="12" t="s">
        <v>11</v>
      </c>
      <c r="G13" s="15" t="s">
        <v>13</v>
      </c>
      <c r="H13" s="14">
        <v>0</v>
      </c>
      <c r="I13" s="10"/>
      <c r="J13" s="12" t="s">
        <v>11</v>
      </c>
      <c r="K13" s="15" t="s">
        <v>13</v>
      </c>
      <c r="L13" s="14">
        <v>0</v>
      </c>
      <c r="M13" s="10"/>
      <c r="N13" s="12" t="s">
        <v>11</v>
      </c>
      <c r="O13" s="15" t="s">
        <v>13</v>
      </c>
      <c r="P13" s="14">
        <v>0</v>
      </c>
      <c r="Q13" s="10"/>
      <c r="R13" s="12" t="s">
        <v>11</v>
      </c>
      <c r="S13" s="15" t="s">
        <v>13</v>
      </c>
      <c r="T13" s="14">
        <v>0</v>
      </c>
      <c r="U13" s="10"/>
      <c r="V13" s="12" t="s">
        <v>11</v>
      </c>
      <c r="W13" s="15" t="s">
        <v>13</v>
      </c>
      <c r="X13" s="14">
        <v>0</v>
      </c>
      <c r="Y13" s="10"/>
      <c r="Z13" s="12" t="s">
        <v>11</v>
      </c>
      <c r="AA13" s="15" t="s">
        <v>13</v>
      </c>
      <c r="AB13" s="14">
        <v>0</v>
      </c>
      <c r="AC13" s="10"/>
      <c r="AD13" s="12" t="s">
        <v>11</v>
      </c>
      <c r="AE13" s="15" t="s">
        <v>13</v>
      </c>
      <c r="AF13" s="14">
        <v>0</v>
      </c>
      <c r="AG13" s="10"/>
      <c r="AH13" s="12" t="s">
        <v>11</v>
      </c>
      <c r="AI13" s="54" t="s">
        <v>131</v>
      </c>
      <c r="AJ13" s="55">
        <v>2000</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s="51"/>
    </row>
    <row r="14" spans="1:53" ht="15" customHeight="1">
      <c r="A14" s="11"/>
      <c r="B14" s="12" t="s">
        <v>12</v>
      </c>
      <c r="C14" s="15" t="s">
        <v>13</v>
      </c>
      <c r="D14" s="14">
        <v>0</v>
      </c>
      <c r="E14" s="9"/>
      <c r="F14" s="12" t="s">
        <v>12</v>
      </c>
      <c r="G14" s="15" t="s">
        <v>13</v>
      </c>
      <c r="H14" s="14">
        <v>0</v>
      </c>
      <c r="I14" s="10"/>
      <c r="J14" s="12" t="s">
        <v>12</v>
      </c>
      <c r="K14" s="15" t="s">
        <v>13</v>
      </c>
      <c r="L14" s="14">
        <v>0</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6">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s="51"/>
    </row>
    <row r="15" spans="1:53" ht="15" customHeight="1">
      <c r="A15" s="11"/>
      <c r="B15" s="12" t="s">
        <v>14</v>
      </c>
      <c r="C15" s="15" t="s">
        <v>13</v>
      </c>
      <c r="D15" s="14">
        <v>0</v>
      </c>
      <c r="E15" s="9"/>
      <c r="F15" s="12" t="s">
        <v>14</v>
      </c>
      <c r="G15" s="15" t="s">
        <v>13</v>
      </c>
      <c r="H15" s="14">
        <v>0</v>
      </c>
      <c r="I15" s="10"/>
      <c r="J15" s="12" t="s">
        <v>14</v>
      </c>
      <c r="K15" s="15" t="s">
        <v>13</v>
      </c>
      <c r="L15" s="14">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s="51"/>
    </row>
    <row r="16" spans="1:53" s="20" customFormat="1" ht="5.0999999999999996" customHeight="1">
      <c r="A16" s="17"/>
      <c r="B16" s="18"/>
      <c r="C16" s="18"/>
      <c r="D16" s="18"/>
      <c r="E16" s="19"/>
      <c r="F16" s="18"/>
      <c r="G16" s="18"/>
      <c r="H16" s="18"/>
      <c r="I16" s="19"/>
      <c r="J16" s="18"/>
      <c r="K16" s="56"/>
      <c r="L16" s="56"/>
      <c r="M16" s="19"/>
      <c r="N16" s="18"/>
      <c r="O16" s="18"/>
      <c r="P16" s="18"/>
      <c r="Q16" s="19"/>
      <c r="R16" s="18"/>
      <c r="S16" s="18"/>
      <c r="T16" s="18"/>
      <c r="U16" s="19"/>
      <c r="V16" s="18"/>
      <c r="W16" s="18"/>
      <c r="X16" s="18"/>
      <c r="Y16" s="19"/>
      <c r="Z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s="51"/>
    </row>
    <row r="17" spans="1:53" ht="15" customHeight="1">
      <c r="A17" s="11"/>
      <c r="B17" s="12" t="s">
        <v>7</v>
      </c>
      <c r="C17" s="13">
        <v>0</v>
      </c>
      <c r="D17" s="14"/>
      <c r="E17" s="10"/>
      <c r="F17" s="12" t="s">
        <v>7</v>
      </c>
      <c r="G17" s="13">
        <v>0</v>
      </c>
      <c r="H17" s="14"/>
      <c r="I17" s="10"/>
      <c r="J17" s="12" t="s">
        <v>7</v>
      </c>
      <c r="K17" s="13">
        <v>0</v>
      </c>
      <c r="L17" s="14"/>
      <c r="M17" s="10"/>
      <c r="N17" s="12" t="s">
        <v>7</v>
      </c>
      <c r="O17" s="13">
        <v>0</v>
      </c>
      <c r="P17" s="14"/>
      <c r="Q17" s="10"/>
      <c r="R17" s="12" t="s">
        <v>7</v>
      </c>
      <c r="S17" s="13">
        <v>0</v>
      </c>
      <c r="T17" s="14"/>
      <c r="U17" s="10"/>
      <c r="V17" s="12" t="s">
        <v>7</v>
      </c>
      <c r="W17" s="13">
        <v>0</v>
      </c>
      <c r="X17" s="14"/>
      <c r="Y17" s="10"/>
      <c r="Z17" s="12" t="s">
        <v>7</v>
      </c>
      <c r="AA17" s="58">
        <v>57000</v>
      </c>
      <c r="AB17" s="14"/>
      <c r="AC17" s="10"/>
      <c r="AD17" s="12" t="s">
        <v>7</v>
      </c>
      <c r="AE17" s="13">
        <v>0</v>
      </c>
      <c r="AF17" s="14"/>
      <c r="AG17" s="10"/>
      <c r="AH17" s="12" t="s">
        <v>7</v>
      </c>
      <c r="AI17" s="54">
        <v>75000</v>
      </c>
      <c r="AJ17" s="14"/>
      <c r="AK17" s="10"/>
      <c r="AL17" s="12" t="s">
        <v>7</v>
      </c>
      <c r="AM17" s="13">
        <v>0</v>
      </c>
      <c r="AN17" s="14"/>
      <c r="AO17" s="10"/>
      <c r="AP17" s="12" t="s">
        <v>7</v>
      </c>
      <c r="AQ17" s="13">
        <v>0</v>
      </c>
      <c r="AR17" s="14"/>
      <c r="AS17" s="10"/>
      <c r="AT17" s="12" t="s">
        <v>7</v>
      </c>
      <c r="AU17" s="13">
        <v>0</v>
      </c>
      <c r="AV17" s="14"/>
      <c r="AW17" s="10"/>
      <c r="AX17" s="12" t="s">
        <v>7</v>
      </c>
      <c r="AY17" s="13">
        <v>0</v>
      </c>
      <c r="AZ17" s="14"/>
      <c r="BA17" s="51"/>
    </row>
    <row r="18" spans="1:53" ht="15" customHeight="1">
      <c r="A18" s="11"/>
      <c r="B18" s="12" t="s">
        <v>6</v>
      </c>
      <c r="C18" s="15">
        <v>0</v>
      </c>
      <c r="D18" s="14"/>
      <c r="E18" s="10"/>
      <c r="F18" s="12" t="s">
        <v>6</v>
      </c>
      <c r="G18" s="15">
        <v>0</v>
      </c>
      <c r="H18" s="14"/>
      <c r="I18" s="10"/>
      <c r="J18" s="12" t="s">
        <v>6</v>
      </c>
      <c r="K18" s="15">
        <v>0</v>
      </c>
      <c r="L18" s="14"/>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15">
        <v>0</v>
      </c>
      <c r="AJ18" s="14"/>
      <c r="AK18" s="10"/>
      <c r="AL18" s="12" t="s">
        <v>6</v>
      </c>
      <c r="AM18" s="15">
        <v>0</v>
      </c>
      <c r="AN18" s="14"/>
      <c r="AO18" s="10"/>
      <c r="AP18" s="12" t="s">
        <v>6</v>
      </c>
      <c r="AQ18" s="15">
        <v>0</v>
      </c>
      <c r="AR18" s="14"/>
      <c r="AS18" s="10"/>
      <c r="AT18" s="12" t="s">
        <v>6</v>
      </c>
      <c r="AU18" s="15">
        <v>0</v>
      </c>
      <c r="AV18" s="14"/>
      <c r="AW18" s="10"/>
      <c r="AX18" s="12" t="s">
        <v>6</v>
      </c>
      <c r="AY18" s="15">
        <v>0</v>
      </c>
      <c r="AZ18" s="14"/>
      <c r="BA18" s="51"/>
    </row>
    <row r="19" spans="1:53" ht="15" customHeight="1">
      <c r="A19" s="11"/>
      <c r="B19" s="12" t="s">
        <v>5</v>
      </c>
      <c r="C19" s="13" t="s">
        <v>4</v>
      </c>
      <c r="D19" s="14"/>
      <c r="E19" s="10"/>
      <c r="F19" s="12" t="s">
        <v>5</v>
      </c>
      <c r="G19" s="13" t="s">
        <v>4</v>
      </c>
      <c r="H19" s="14"/>
      <c r="I19" s="10"/>
      <c r="J19" s="12" t="s">
        <v>5</v>
      </c>
      <c r="K19" s="13" t="s">
        <v>4</v>
      </c>
      <c r="L19" s="14"/>
      <c r="M19" s="10"/>
      <c r="N19" s="12" t="s">
        <v>5</v>
      </c>
      <c r="O19" s="13" t="s">
        <v>4</v>
      </c>
      <c r="P19" s="14"/>
      <c r="Q19" s="10"/>
      <c r="R19" s="12" t="s">
        <v>5</v>
      </c>
      <c r="S19" s="13" t="s">
        <v>4</v>
      </c>
      <c r="T19" s="14"/>
      <c r="U19" s="10"/>
      <c r="V19" s="12" t="s">
        <v>5</v>
      </c>
      <c r="W19" s="13" t="s">
        <v>4</v>
      </c>
      <c r="X19" s="14"/>
      <c r="Y19" s="10"/>
      <c r="Z19" s="12" t="s">
        <v>5</v>
      </c>
      <c r="AA19" s="58" t="s">
        <v>265</v>
      </c>
      <c r="AB19" s="14"/>
      <c r="AC19" s="10"/>
      <c r="AD19" s="12" t="s">
        <v>5</v>
      </c>
      <c r="AE19" s="13" t="s">
        <v>4</v>
      </c>
      <c r="AF19" s="14"/>
      <c r="AG19" s="10"/>
      <c r="AH19" s="12" t="s">
        <v>5</v>
      </c>
      <c r="AI19" s="54" t="s">
        <v>251</v>
      </c>
      <c r="AJ19" s="14"/>
      <c r="AK19" s="10"/>
      <c r="AL19" s="12" t="s">
        <v>5</v>
      </c>
      <c r="AM19" s="13" t="s">
        <v>4</v>
      </c>
      <c r="AN19" s="14"/>
      <c r="AO19" s="10"/>
      <c r="AP19" s="12" t="s">
        <v>5</v>
      </c>
      <c r="AQ19" s="13" t="s">
        <v>4</v>
      </c>
      <c r="AR19" s="14"/>
      <c r="AS19" s="10"/>
      <c r="AT19" s="12" t="s">
        <v>5</v>
      </c>
      <c r="AU19" s="13" t="s">
        <v>4</v>
      </c>
      <c r="AV19" s="14"/>
      <c r="AW19" s="10"/>
      <c r="AX19" s="12" t="s">
        <v>5</v>
      </c>
      <c r="AY19" s="13" t="s">
        <v>4</v>
      </c>
      <c r="AZ19" s="14"/>
      <c r="BA19" s="51"/>
    </row>
    <row r="20" spans="1:53" ht="15" customHeight="1">
      <c r="A20" s="11"/>
      <c r="B20" s="12" t="s">
        <v>11</v>
      </c>
      <c r="C20" s="15" t="s">
        <v>13</v>
      </c>
      <c r="D20" s="43">
        <v>0</v>
      </c>
      <c r="E20" s="9"/>
      <c r="F20" s="12" t="s">
        <v>11</v>
      </c>
      <c r="G20" s="15" t="s">
        <v>13</v>
      </c>
      <c r="H20" s="14">
        <v>0</v>
      </c>
      <c r="I20" s="10"/>
      <c r="J20" s="12" t="s">
        <v>11</v>
      </c>
      <c r="K20" s="15" t="s">
        <v>13</v>
      </c>
      <c r="L20" s="14">
        <v>0</v>
      </c>
      <c r="M20" s="10"/>
      <c r="N20" s="12" t="s">
        <v>11</v>
      </c>
      <c r="O20" s="15" t="s">
        <v>13</v>
      </c>
      <c r="P20" s="14">
        <v>0</v>
      </c>
      <c r="Q20" s="10"/>
      <c r="R20" s="12" t="s">
        <v>11</v>
      </c>
      <c r="S20" s="15" t="s">
        <v>13</v>
      </c>
      <c r="T20" s="14">
        <v>0</v>
      </c>
      <c r="U20" s="10"/>
      <c r="V20" s="12" t="s">
        <v>11</v>
      </c>
      <c r="W20" s="15" t="s">
        <v>13</v>
      </c>
      <c r="X20" s="14">
        <v>0</v>
      </c>
      <c r="Y20" s="10"/>
      <c r="Z20" s="12" t="s">
        <v>11</v>
      </c>
      <c r="AA20" s="59" t="s">
        <v>131</v>
      </c>
      <c r="AB20" s="60">
        <v>5000</v>
      </c>
      <c r="AC20" s="10"/>
      <c r="AD20" s="12" t="s">
        <v>11</v>
      </c>
      <c r="AE20" s="15" t="s">
        <v>13</v>
      </c>
      <c r="AF20" s="14">
        <v>0</v>
      </c>
      <c r="AG20" s="10"/>
      <c r="AH20" s="12" t="s">
        <v>11</v>
      </c>
      <c r="AI20" s="54" t="s">
        <v>131</v>
      </c>
      <c r="AJ20" s="55">
        <v>2000</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s="51"/>
    </row>
    <row r="21" spans="1:53" ht="15" customHeight="1">
      <c r="A21" s="11"/>
      <c r="B21" s="12" t="s">
        <v>12</v>
      </c>
      <c r="C21" s="15" t="s">
        <v>13</v>
      </c>
      <c r="D21" s="14">
        <v>0</v>
      </c>
      <c r="E21" s="9"/>
      <c r="F21" s="12" t="s">
        <v>12</v>
      </c>
      <c r="G21" s="15" t="s">
        <v>13</v>
      </c>
      <c r="H21" s="14">
        <v>0</v>
      </c>
      <c r="I21" s="10"/>
      <c r="J21" s="12" t="s">
        <v>12</v>
      </c>
      <c r="K21" s="15" t="s">
        <v>13</v>
      </c>
      <c r="L21" s="14">
        <v>0</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15" t="s">
        <v>13</v>
      </c>
      <c r="AJ21" s="55">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s="51"/>
    </row>
    <row r="22" spans="1:53" ht="15" customHeight="1">
      <c r="A22" s="11"/>
      <c r="B22" s="12" t="s">
        <v>14</v>
      </c>
      <c r="C22" s="15" t="s">
        <v>13</v>
      </c>
      <c r="D22" s="14">
        <v>0</v>
      </c>
      <c r="E22" s="9"/>
      <c r="F22" s="12" t="s">
        <v>14</v>
      </c>
      <c r="G22" s="15" t="s">
        <v>13</v>
      </c>
      <c r="H22" s="14">
        <v>0</v>
      </c>
      <c r="I22" s="10"/>
      <c r="J22" s="12" t="s">
        <v>14</v>
      </c>
      <c r="K22" s="15" t="s">
        <v>13</v>
      </c>
      <c r="L22" s="14">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15" t="s">
        <v>13</v>
      </c>
      <c r="AJ22" s="14">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s="51"/>
    </row>
    <row r="23" spans="1:53" s="20" customFormat="1" ht="5.0999999999999996" customHeight="1">
      <c r="A23" s="17"/>
      <c r="B23" s="18"/>
      <c r="C23" s="18"/>
      <c r="D23" s="18"/>
      <c r="E23" s="19"/>
      <c r="F23" s="18"/>
      <c r="G23" s="18"/>
      <c r="H23" s="18"/>
      <c r="I23" s="19"/>
      <c r="J23" s="18"/>
      <c r="K23" s="56"/>
      <c r="L23" s="56"/>
      <c r="M23" s="19"/>
      <c r="N23" s="18"/>
      <c r="O23" s="18"/>
      <c r="P23" s="18"/>
      <c r="Q23" s="19"/>
      <c r="R23" s="18"/>
      <c r="S23" s="18"/>
      <c r="T23" s="18"/>
      <c r="U23" s="19"/>
      <c r="V23" s="18"/>
      <c r="W23" s="18"/>
      <c r="X23" s="18"/>
      <c r="Y23" s="19"/>
      <c r="Z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s="51"/>
    </row>
    <row r="24" spans="1:53" ht="15" customHeight="1">
      <c r="A24" s="11"/>
      <c r="B24" s="12" t="s">
        <v>7</v>
      </c>
      <c r="C24" s="13">
        <v>0</v>
      </c>
      <c r="D24" s="14"/>
      <c r="E24" s="10"/>
      <c r="F24" s="12" t="s">
        <v>7</v>
      </c>
      <c r="G24" s="13">
        <v>0</v>
      </c>
      <c r="H24" s="14"/>
      <c r="I24" s="10"/>
      <c r="J24" s="12" t="s">
        <v>7</v>
      </c>
      <c r="K24" s="13">
        <v>0</v>
      </c>
      <c r="L24" s="14"/>
      <c r="M24" s="10"/>
      <c r="N24" s="12" t="s">
        <v>7</v>
      </c>
      <c r="O24" s="13">
        <v>0</v>
      </c>
      <c r="P24" s="14"/>
      <c r="Q24" s="10"/>
      <c r="R24" s="12" t="s">
        <v>7</v>
      </c>
      <c r="S24" s="13">
        <v>0</v>
      </c>
      <c r="T24" s="14"/>
      <c r="U24" s="10"/>
      <c r="V24" s="12" t="s">
        <v>7</v>
      </c>
      <c r="W24" s="13">
        <v>0</v>
      </c>
      <c r="X24" s="14"/>
      <c r="Y24" s="10"/>
      <c r="Z24" s="12" t="s">
        <v>7</v>
      </c>
      <c r="AA24" s="44">
        <v>50000</v>
      </c>
      <c r="AB24" s="43"/>
      <c r="AC24" s="10"/>
      <c r="AD24" s="12" t="s">
        <v>7</v>
      </c>
      <c r="AE24" s="13">
        <v>0</v>
      </c>
      <c r="AF24" s="14"/>
      <c r="AG24" s="10"/>
      <c r="AH24" s="12" t="s">
        <v>7</v>
      </c>
      <c r="AI24" s="54">
        <v>72000</v>
      </c>
      <c r="AJ24" s="14"/>
      <c r="AK24" s="10"/>
      <c r="AL24" s="12" t="s">
        <v>7</v>
      </c>
      <c r="AM24" s="13">
        <v>0</v>
      </c>
      <c r="AN24" s="14"/>
      <c r="AO24" s="10"/>
      <c r="AP24" s="12" t="s">
        <v>7</v>
      </c>
      <c r="AQ24" s="13">
        <v>0</v>
      </c>
      <c r="AR24" s="14"/>
      <c r="AS24" s="10"/>
      <c r="AT24" s="12" t="s">
        <v>7</v>
      </c>
      <c r="AU24" s="13">
        <v>0</v>
      </c>
      <c r="AV24" s="14"/>
      <c r="AW24" s="10"/>
      <c r="AX24" s="12" t="s">
        <v>7</v>
      </c>
      <c r="AY24" s="13">
        <v>0</v>
      </c>
      <c r="AZ24" s="14"/>
      <c r="BA24" s="51"/>
    </row>
    <row r="25" spans="1:53" ht="15" customHeight="1">
      <c r="A25" s="11"/>
      <c r="B25" s="12" t="s">
        <v>6</v>
      </c>
      <c r="C25" s="15">
        <v>0</v>
      </c>
      <c r="D25" s="14"/>
      <c r="E25" s="10"/>
      <c r="F25" s="12" t="s">
        <v>6</v>
      </c>
      <c r="G25" s="15">
        <v>0</v>
      </c>
      <c r="H25" s="14"/>
      <c r="I25" s="10"/>
      <c r="J25" s="12" t="s">
        <v>6</v>
      </c>
      <c r="K25" s="15">
        <v>0</v>
      </c>
      <c r="L25" s="14"/>
      <c r="M25" s="10"/>
      <c r="N25" s="12" t="s">
        <v>6</v>
      </c>
      <c r="O25" s="15">
        <v>0</v>
      </c>
      <c r="P25" s="14"/>
      <c r="Q25" s="10"/>
      <c r="R25" s="12" t="s">
        <v>6</v>
      </c>
      <c r="S25" s="15">
        <v>0</v>
      </c>
      <c r="T25" s="14"/>
      <c r="U25" s="10"/>
      <c r="V25" s="12" t="s">
        <v>6</v>
      </c>
      <c r="W25" s="15">
        <v>0</v>
      </c>
      <c r="X25" s="14"/>
      <c r="Y25" s="10"/>
      <c r="Z25" s="12" t="s">
        <v>6</v>
      </c>
      <c r="AA25" s="44">
        <v>0</v>
      </c>
      <c r="AB25" s="43"/>
      <c r="AC25" s="10"/>
      <c r="AD25" s="12" t="s">
        <v>6</v>
      </c>
      <c r="AE25" s="15">
        <v>0</v>
      </c>
      <c r="AF25" s="14"/>
      <c r="AG25" s="10"/>
      <c r="AH25" s="12" t="s">
        <v>6</v>
      </c>
      <c r="AI25" s="15">
        <v>0</v>
      </c>
      <c r="AJ25" s="14"/>
      <c r="AK25" s="10"/>
      <c r="AL25" s="12" t="s">
        <v>6</v>
      </c>
      <c r="AM25" s="15">
        <v>0</v>
      </c>
      <c r="AN25" s="14"/>
      <c r="AO25" s="10"/>
      <c r="AP25" s="12" t="s">
        <v>6</v>
      </c>
      <c r="AQ25" s="15">
        <v>0</v>
      </c>
      <c r="AR25" s="14"/>
      <c r="AS25" s="10"/>
      <c r="AT25" s="12" t="s">
        <v>6</v>
      </c>
      <c r="AU25" s="15">
        <v>0</v>
      </c>
      <c r="AV25" s="14"/>
      <c r="AW25" s="10"/>
      <c r="AX25" s="12" t="s">
        <v>6</v>
      </c>
      <c r="AY25" s="15">
        <v>0</v>
      </c>
      <c r="AZ25" s="14"/>
      <c r="BA25" s="51"/>
    </row>
    <row r="26" spans="1:53" ht="15" customHeight="1">
      <c r="A26" s="11"/>
      <c r="B26" s="12" t="s">
        <v>5</v>
      </c>
      <c r="C26" s="13" t="s">
        <v>4</v>
      </c>
      <c r="D26" s="14"/>
      <c r="E26" s="10"/>
      <c r="F26" s="12" t="s">
        <v>5</v>
      </c>
      <c r="G26" s="13" t="s">
        <v>4</v>
      </c>
      <c r="H26" s="14"/>
      <c r="I26" s="10"/>
      <c r="J26" s="12" t="s">
        <v>5</v>
      </c>
      <c r="K26" s="13" t="s">
        <v>4</v>
      </c>
      <c r="L26" s="14"/>
      <c r="M26" s="10"/>
      <c r="N26" s="12" t="s">
        <v>5</v>
      </c>
      <c r="O26" s="13" t="s">
        <v>4</v>
      </c>
      <c r="P26" s="14"/>
      <c r="Q26" s="10"/>
      <c r="R26" s="12" t="s">
        <v>5</v>
      </c>
      <c r="S26" s="13" t="s">
        <v>4</v>
      </c>
      <c r="T26" s="14"/>
      <c r="U26" s="10"/>
      <c r="V26" s="12" t="s">
        <v>5</v>
      </c>
      <c r="W26" s="13" t="s">
        <v>4</v>
      </c>
      <c r="X26" s="14"/>
      <c r="Y26" s="10"/>
      <c r="Z26" s="12" t="s">
        <v>5</v>
      </c>
      <c r="AA26" s="44" t="s">
        <v>113</v>
      </c>
      <c r="AB26" s="43"/>
      <c r="AC26" s="10"/>
      <c r="AD26" s="12" t="s">
        <v>5</v>
      </c>
      <c r="AE26" s="13" t="s">
        <v>4</v>
      </c>
      <c r="AF26" s="14"/>
      <c r="AG26" s="10"/>
      <c r="AH26" s="12" t="s">
        <v>5</v>
      </c>
      <c r="AI26" s="54" t="s">
        <v>257</v>
      </c>
      <c r="AJ26" s="14"/>
      <c r="AK26" s="10"/>
      <c r="AL26" s="12" t="s">
        <v>5</v>
      </c>
      <c r="AM26" s="13" t="s">
        <v>4</v>
      </c>
      <c r="AN26" s="14"/>
      <c r="AO26" s="10"/>
      <c r="AP26" s="12" t="s">
        <v>5</v>
      </c>
      <c r="AQ26" s="13" t="s">
        <v>4</v>
      </c>
      <c r="AR26" s="14"/>
      <c r="AS26" s="10"/>
      <c r="AT26" s="12" t="s">
        <v>5</v>
      </c>
      <c r="AU26" s="13" t="s">
        <v>4</v>
      </c>
      <c r="AV26" s="14"/>
      <c r="AW26" s="10"/>
      <c r="AX26" s="12" t="s">
        <v>5</v>
      </c>
      <c r="AY26" s="13" t="s">
        <v>4</v>
      </c>
      <c r="AZ26" s="14"/>
      <c r="BA26" s="51"/>
    </row>
    <row r="27" spans="1:53" ht="15" customHeight="1">
      <c r="A27" s="11"/>
      <c r="B27" s="12" t="s">
        <v>11</v>
      </c>
      <c r="C27" s="15" t="s">
        <v>13</v>
      </c>
      <c r="D27" s="43">
        <v>0</v>
      </c>
      <c r="E27" s="9"/>
      <c r="F27" s="12" t="s">
        <v>11</v>
      </c>
      <c r="G27" s="15" t="s">
        <v>13</v>
      </c>
      <c r="H27" s="14">
        <v>0</v>
      </c>
      <c r="I27" s="10"/>
      <c r="J27" s="12" t="s">
        <v>11</v>
      </c>
      <c r="K27" s="15" t="s">
        <v>13</v>
      </c>
      <c r="L27" s="14">
        <v>0</v>
      </c>
      <c r="M27" s="10"/>
      <c r="N27" s="12" t="s">
        <v>11</v>
      </c>
      <c r="O27" s="15" t="s">
        <v>13</v>
      </c>
      <c r="P27" s="14">
        <v>0</v>
      </c>
      <c r="Q27" s="10"/>
      <c r="R27" s="12" t="s">
        <v>11</v>
      </c>
      <c r="S27" s="15" t="s">
        <v>13</v>
      </c>
      <c r="T27" s="14">
        <v>0</v>
      </c>
      <c r="U27" s="10"/>
      <c r="V27" s="12" t="s">
        <v>11</v>
      </c>
      <c r="W27" s="15" t="s">
        <v>13</v>
      </c>
      <c r="X27" s="14">
        <v>0</v>
      </c>
      <c r="Y27" s="10"/>
      <c r="Z27" s="12" t="s">
        <v>11</v>
      </c>
      <c r="AA27" s="44" t="s">
        <v>131</v>
      </c>
      <c r="AB27" s="43">
        <v>1999</v>
      </c>
      <c r="AC27" s="10"/>
      <c r="AD27" s="12" t="s">
        <v>11</v>
      </c>
      <c r="AE27" s="15" t="s">
        <v>13</v>
      </c>
      <c r="AF27" s="14">
        <v>0</v>
      </c>
      <c r="AG27" s="10"/>
      <c r="AH27" s="12" t="s">
        <v>11</v>
      </c>
      <c r="AI27" s="54" t="s">
        <v>131</v>
      </c>
      <c r="AJ27" s="55">
        <v>2000</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s="51"/>
    </row>
    <row r="28" spans="1:53" ht="15" customHeight="1">
      <c r="A28" s="11"/>
      <c r="B28" s="12" t="s">
        <v>12</v>
      </c>
      <c r="C28" s="15" t="s">
        <v>13</v>
      </c>
      <c r="D28" s="14">
        <v>0</v>
      </c>
      <c r="E28" s="9"/>
      <c r="F28" s="12" t="s">
        <v>12</v>
      </c>
      <c r="G28" s="15" t="s">
        <v>13</v>
      </c>
      <c r="H28" s="16">
        <v>0</v>
      </c>
      <c r="I28" s="10"/>
      <c r="J28" s="12" t="s">
        <v>12</v>
      </c>
      <c r="K28" s="15" t="s">
        <v>13</v>
      </c>
      <c r="L28" s="14">
        <v>0</v>
      </c>
      <c r="M28" s="10"/>
      <c r="N28" s="12" t="s">
        <v>12</v>
      </c>
      <c r="O28" s="15" t="s">
        <v>13</v>
      </c>
      <c r="P28" s="16">
        <v>0</v>
      </c>
      <c r="Q28" s="10"/>
      <c r="R28" s="12" t="s">
        <v>12</v>
      </c>
      <c r="S28" s="15" t="s">
        <v>13</v>
      </c>
      <c r="T28" s="16">
        <v>0</v>
      </c>
      <c r="U28" s="10"/>
      <c r="V28" s="12" t="s">
        <v>12</v>
      </c>
      <c r="W28" s="15" t="s">
        <v>13</v>
      </c>
      <c r="X28" s="16">
        <v>0</v>
      </c>
      <c r="Y28" s="10"/>
      <c r="Z28" s="12" t="s">
        <v>12</v>
      </c>
      <c r="AA28" s="15" t="s">
        <v>13</v>
      </c>
      <c r="AB28" s="14">
        <v>0</v>
      </c>
      <c r="AC28" s="10"/>
      <c r="AD28" s="12" t="s">
        <v>12</v>
      </c>
      <c r="AE28" s="15" t="s">
        <v>13</v>
      </c>
      <c r="AF28" s="16">
        <v>0</v>
      </c>
      <c r="AG28" s="10"/>
      <c r="AH28" s="12" t="s">
        <v>12</v>
      </c>
      <c r="AI28" s="44" t="s">
        <v>268</v>
      </c>
      <c r="AJ28" s="43">
        <v>5000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s="51"/>
    </row>
    <row r="29" spans="1:53" ht="15" customHeight="1">
      <c r="A29" s="11"/>
      <c r="B29" s="12" t="s">
        <v>14</v>
      </c>
      <c r="C29" s="15" t="s">
        <v>13</v>
      </c>
      <c r="D29" s="14">
        <v>0</v>
      </c>
      <c r="E29" s="9"/>
      <c r="F29" s="12" t="s">
        <v>14</v>
      </c>
      <c r="G29" s="15" t="s">
        <v>13</v>
      </c>
      <c r="H29" s="14">
        <v>0</v>
      </c>
      <c r="I29" s="10"/>
      <c r="J29" s="12" t="s">
        <v>14</v>
      </c>
      <c r="K29" s="15" t="s">
        <v>13</v>
      </c>
      <c r="L29" s="14">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15" t="s">
        <v>13</v>
      </c>
      <c r="AJ29" s="14">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s="51"/>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s="51"/>
    </row>
    <row r="31" spans="1:53" ht="15" customHeight="1">
      <c r="A31" s="11"/>
      <c r="B31" s="12" t="s">
        <v>7</v>
      </c>
      <c r="C31" s="13">
        <v>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44">
        <v>49000</v>
      </c>
      <c r="AB31" s="43"/>
      <c r="AC31" s="10"/>
      <c r="AD31" s="12" t="s">
        <v>7</v>
      </c>
      <c r="AE31" s="13">
        <v>0</v>
      </c>
      <c r="AF31" s="14"/>
      <c r="AG31" s="10"/>
      <c r="AH31" s="12" t="s">
        <v>7</v>
      </c>
      <c r="AI31" s="44">
        <v>69000</v>
      </c>
      <c r="AJ31" s="14"/>
      <c r="AK31" s="10"/>
      <c r="AL31" s="12" t="s">
        <v>7</v>
      </c>
      <c r="AM31" s="13">
        <v>0</v>
      </c>
      <c r="AN31" s="14"/>
      <c r="AO31" s="10"/>
      <c r="AP31" s="12" t="s">
        <v>7</v>
      </c>
      <c r="AQ31" s="13">
        <v>0</v>
      </c>
      <c r="AR31" s="14"/>
      <c r="AS31" s="10"/>
      <c r="AT31" s="12" t="s">
        <v>7</v>
      </c>
      <c r="AU31" s="13">
        <v>0</v>
      </c>
      <c r="AV31" s="14"/>
      <c r="AW31" s="10"/>
      <c r="AX31" s="12" t="s">
        <v>7</v>
      </c>
      <c r="AY31" s="13">
        <v>0</v>
      </c>
      <c r="AZ31" s="14"/>
      <c r="BA31" s="5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44">
        <v>0</v>
      </c>
      <c r="AB32" s="43"/>
      <c r="AC32" s="10"/>
      <c r="AD32" s="12" t="s">
        <v>6</v>
      </c>
      <c r="AE32" s="15">
        <v>0</v>
      </c>
      <c r="AF32" s="14"/>
      <c r="AG32" s="10"/>
      <c r="AH32" s="12" t="s">
        <v>6</v>
      </c>
      <c r="AI32" s="15">
        <v>0</v>
      </c>
      <c r="AJ32" s="14"/>
      <c r="AK32" s="10"/>
      <c r="AL32" s="12" t="s">
        <v>6</v>
      </c>
      <c r="AM32" s="15">
        <v>0</v>
      </c>
      <c r="AN32" s="14"/>
      <c r="AO32" s="10"/>
      <c r="AP32" s="12" t="s">
        <v>6</v>
      </c>
      <c r="AQ32" s="15">
        <v>0</v>
      </c>
      <c r="AR32" s="14"/>
      <c r="AS32" s="10"/>
      <c r="AT32" s="12" t="s">
        <v>6</v>
      </c>
      <c r="AU32" s="15">
        <v>0</v>
      </c>
      <c r="AV32" s="14"/>
      <c r="AW32" s="10"/>
      <c r="AX32" s="12" t="s">
        <v>6</v>
      </c>
      <c r="AY32" s="15">
        <v>0</v>
      </c>
      <c r="AZ32" s="14"/>
      <c r="BA32" s="51"/>
    </row>
    <row r="33" spans="1:53" ht="15" customHeight="1">
      <c r="A33" s="11"/>
      <c r="B33" s="12" t="s">
        <v>5</v>
      </c>
      <c r="C33" s="13" t="s">
        <v>4</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44" t="s">
        <v>112</v>
      </c>
      <c r="AB33" s="43"/>
      <c r="AC33" s="10"/>
      <c r="AD33" s="12" t="s">
        <v>5</v>
      </c>
      <c r="AE33" s="13" t="s">
        <v>4</v>
      </c>
      <c r="AF33" s="14"/>
      <c r="AG33" s="10"/>
      <c r="AH33" s="12" t="s">
        <v>5</v>
      </c>
      <c r="AI33" s="54" t="s">
        <v>266</v>
      </c>
      <c r="AJ33" s="14"/>
      <c r="AK33" s="10"/>
      <c r="AL33" s="12" t="s">
        <v>5</v>
      </c>
      <c r="AM33" s="13" t="s">
        <v>4</v>
      </c>
      <c r="AN33" s="14"/>
      <c r="AO33" s="10"/>
      <c r="AP33" s="12" t="s">
        <v>5</v>
      </c>
      <c r="AQ33" s="13" t="s">
        <v>4</v>
      </c>
      <c r="AR33" s="14"/>
      <c r="AS33" s="10"/>
      <c r="AT33" s="12" t="s">
        <v>5</v>
      </c>
      <c r="AU33" s="13" t="s">
        <v>4</v>
      </c>
      <c r="AV33" s="14"/>
      <c r="AW33" s="10"/>
      <c r="AX33" s="12" t="s">
        <v>5</v>
      </c>
      <c r="AY33" s="13" t="s">
        <v>4</v>
      </c>
      <c r="AZ33" s="14"/>
      <c r="BA33" s="51"/>
    </row>
    <row r="34" spans="1:53" ht="15" customHeight="1">
      <c r="A34" s="11"/>
      <c r="B34" s="12" t="s">
        <v>11</v>
      </c>
      <c r="C34" s="15" t="s">
        <v>13</v>
      </c>
      <c r="D34" s="43">
        <v>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44" t="s">
        <v>131</v>
      </c>
      <c r="AB34" s="43">
        <v>1999</v>
      </c>
      <c r="AC34" s="10"/>
      <c r="AD34" s="12" t="s">
        <v>11</v>
      </c>
      <c r="AE34" s="15" t="s">
        <v>13</v>
      </c>
      <c r="AF34" s="14">
        <v>0</v>
      </c>
      <c r="AG34" s="10"/>
      <c r="AH34" s="12" t="s">
        <v>11</v>
      </c>
      <c r="AI34" s="54" t="s">
        <v>131</v>
      </c>
      <c r="AJ34" s="43">
        <v>2000</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s="51"/>
    </row>
    <row r="35" spans="1:53" ht="15" customHeight="1">
      <c r="A35" s="11"/>
      <c r="B35" s="12" t="s">
        <v>12</v>
      </c>
      <c r="C35" s="15" t="s">
        <v>13</v>
      </c>
      <c r="D35" s="43">
        <v>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4">
        <v>0</v>
      </c>
      <c r="AC35" s="10"/>
      <c r="AD35" s="12" t="s">
        <v>12</v>
      </c>
      <c r="AE35" s="15" t="s">
        <v>13</v>
      </c>
      <c r="AF35" s="16">
        <v>0</v>
      </c>
      <c r="AG35" s="10"/>
      <c r="AH35" s="12" t="s">
        <v>12</v>
      </c>
      <c r="AI35" s="15" t="s">
        <v>13</v>
      </c>
      <c r="AJ35" s="16">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s="51"/>
    </row>
    <row r="36" spans="1:53" ht="15" customHeight="1">
      <c r="A36" s="11"/>
      <c r="B36" s="12" t="s">
        <v>14</v>
      </c>
      <c r="C36" s="15" t="s">
        <v>13</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s="51"/>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s="51"/>
    </row>
    <row r="38" spans="1:53" ht="15" customHeight="1">
      <c r="A38" s="11"/>
      <c r="B38" s="12" t="s">
        <v>7</v>
      </c>
      <c r="C38" s="44">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44">
        <v>48000</v>
      </c>
      <c r="AB38" s="43"/>
      <c r="AC38" s="10"/>
      <c r="AD38" s="12" t="s">
        <v>7</v>
      </c>
      <c r="AE38" s="13">
        <v>0</v>
      </c>
      <c r="AF38" s="14"/>
      <c r="AG38" s="10"/>
      <c r="AH38" s="12" t="s">
        <v>7</v>
      </c>
      <c r="AI38" s="44">
        <v>67000</v>
      </c>
      <c r="AJ38" s="14"/>
      <c r="AK38" s="10"/>
      <c r="AL38" s="12" t="s">
        <v>7</v>
      </c>
      <c r="AM38" s="13">
        <v>0</v>
      </c>
      <c r="AN38" s="14"/>
      <c r="AO38" s="10"/>
      <c r="AP38" s="12" t="s">
        <v>7</v>
      </c>
      <c r="AQ38" s="13">
        <v>0</v>
      </c>
      <c r="AR38" s="14"/>
      <c r="AS38" s="10"/>
      <c r="AT38" s="12" t="s">
        <v>7</v>
      </c>
      <c r="AU38" s="13">
        <v>0</v>
      </c>
      <c r="AV38" s="14"/>
      <c r="AW38" s="10"/>
      <c r="AX38" s="12" t="s">
        <v>7</v>
      </c>
      <c r="AY38" s="13">
        <v>0</v>
      </c>
      <c r="AZ38" s="14"/>
      <c r="BA38" s="51"/>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44">
        <v>0</v>
      </c>
      <c r="AB39" s="43"/>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s="51"/>
    </row>
    <row r="40" spans="1:53"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44" t="s">
        <v>33</v>
      </c>
      <c r="AB40" s="43"/>
      <c r="AC40" s="10"/>
      <c r="AD40" s="12" t="s">
        <v>5</v>
      </c>
      <c r="AE40" s="13" t="s">
        <v>4</v>
      </c>
      <c r="AF40" s="14"/>
      <c r="AG40" s="10"/>
      <c r="AH40" s="12" t="s">
        <v>5</v>
      </c>
      <c r="AI40" s="54" t="s">
        <v>267</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s="51"/>
    </row>
    <row r="41" spans="1:53" ht="15" customHeight="1">
      <c r="A41" s="11"/>
      <c r="B41" s="12" t="s">
        <v>11</v>
      </c>
      <c r="C41" s="15" t="s">
        <v>13</v>
      </c>
      <c r="D41" s="43">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44" t="s">
        <v>131</v>
      </c>
      <c r="AB41" s="43">
        <v>1999</v>
      </c>
      <c r="AC41" s="10"/>
      <c r="AD41" s="12" t="s">
        <v>11</v>
      </c>
      <c r="AE41" s="15" t="s">
        <v>13</v>
      </c>
      <c r="AF41" s="14">
        <v>0</v>
      </c>
      <c r="AG41" s="10"/>
      <c r="AH41" s="12" t="s">
        <v>11</v>
      </c>
      <c r="AI41" s="54" t="s">
        <v>131</v>
      </c>
      <c r="AJ41" s="55">
        <v>2000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s="51"/>
    </row>
    <row r="42" spans="1:53" ht="15" customHeight="1">
      <c r="A42" s="11"/>
      <c r="B42" s="12" t="s">
        <v>12</v>
      </c>
      <c r="C42" s="15" t="s">
        <v>13</v>
      </c>
      <c r="D42" s="43">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4">
        <v>0</v>
      </c>
      <c r="AC42" s="10"/>
      <c r="AD42" s="12" t="s">
        <v>12</v>
      </c>
      <c r="AE42" s="15" t="s">
        <v>13</v>
      </c>
      <c r="AF42" s="16">
        <v>0</v>
      </c>
      <c r="AG42" s="10"/>
      <c r="AH42" s="12" t="s">
        <v>12</v>
      </c>
      <c r="AI42" s="15" t="s">
        <v>13</v>
      </c>
      <c r="AJ42" s="16">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s="51"/>
    </row>
    <row r="43" spans="1:53" ht="15" customHeight="1">
      <c r="A43" s="11"/>
      <c r="B43" s="12" t="s">
        <v>14</v>
      </c>
      <c r="C43" s="15" t="s">
        <v>13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s="51"/>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s="51"/>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44">
        <v>65000</v>
      </c>
      <c r="AJ45" s="14"/>
      <c r="AK45" s="10"/>
      <c r="AL45" s="12" t="s">
        <v>7</v>
      </c>
      <c r="AM45" s="13">
        <v>0</v>
      </c>
      <c r="AN45" s="14"/>
      <c r="AO45" s="10"/>
      <c r="AP45" s="12" t="s">
        <v>7</v>
      </c>
      <c r="AQ45" s="13">
        <v>0</v>
      </c>
      <c r="AR45" s="14"/>
      <c r="AS45" s="10"/>
      <c r="AT45" s="12" t="s">
        <v>7</v>
      </c>
      <c r="AU45" s="13">
        <v>0</v>
      </c>
      <c r="AV45" s="14"/>
      <c r="AW45" s="10"/>
      <c r="AX45" s="12" t="s">
        <v>7</v>
      </c>
      <c r="AY45" s="13">
        <v>0</v>
      </c>
      <c r="AZ45" s="14"/>
      <c r="BA45" s="51"/>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s="51"/>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54" t="s">
        <v>269</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s="51"/>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54" t="s">
        <v>131</v>
      </c>
      <c r="AJ48" s="43">
        <v>2000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s="51"/>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6">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s="51"/>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s="51"/>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s="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13">
        <v>0</v>
      </c>
      <c r="AJ52" s="14"/>
      <c r="AK52" s="10"/>
      <c r="AL52" s="12" t="s">
        <v>7</v>
      </c>
      <c r="AM52" s="13">
        <v>0</v>
      </c>
      <c r="AN52" s="14"/>
      <c r="AO52" s="10"/>
      <c r="AP52" s="12" t="s">
        <v>7</v>
      </c>
      <c r="AQ52" s="13">
        <v>0</v>
      </c>
      <c r="AR52" s="14"/>
      <c r="AS52" s="10"/>
      <c r="AT52" s="12" t="s">
        <v>7</v>
      </c>
      <c r="AU52" s="13">
        <v>0</v>
      </c>
      <c r="AV52" s="14"/>
      <c r="AW52" s="10"/>
      <c r="AX52" s="12" t="s">
        <v>7</v>
      </c>
      <c r="AY52" s="13">
        <v>0</v>
      </c>
      <c r="AZ52" s="14"/>
      <c r="BA52" s="51"/>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s="51"/>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13" t="s">
        <v>4</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s="51"/>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15" t="s">
        <v>13</v>
      </c>
      <c r="AJ55" s="14">
        <v>0</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s="51"/>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s="51"/>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s="51"/>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s="51"/>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s="51"/>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s="51"/>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s="5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s="51"/>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s="51"/>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s="51"/>
    </row>
    <row r="65" spans="1:53"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s="51"/>
    </row>
    <row r="66" spans="1:53"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s="51"/>
    </row>
    <row r="67" spans="1:53"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s="51"/>
    </row>
    <row r="68" spans="1:53"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s="51"/>
    </row>
    <row r="69" spans="1:53"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s="51"/>
    </row>
    <row r="70" spans="1:53"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s="51"/>
    </row>
    <row r="71" spans="1:53"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s="51"/>
    </row>
    <row r="72" spans="1:53"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s="51"/>
    </row>
    <row r="73" spans="1:53" ht="15" customHeight="1">
      <c r="A73" s="11"/>
      <c r="B73" s="22" t="s">
        <v>8</v>
      </c>
      <c r="C73" s="23">
        <v>200</v>
      </c>
      <c r="D73" s="24"/>
      <c r="E73" s="25"/>
      <c r="F73" s="22" t="s">
        <v>8</v>
      </c>
      <c r="G73" s="23">
        <v>1000</v>
      </c>
      <c r="H73" s="24"/>
      <c r="I73" s="25"/>
      <c r="J73" s="22" t="s">
        <v>8</v>
      </c>
      <c r="K73" s="23">
        <v>1000</v>
      </c>
      <c r="L73" s="24"/>
      <c r="M73" s="25"/>
      <c r="N73" s="22" t="s">
        <v>8</v>
      </c>
      <c r="O73" s="23">
        <v>2000</v>
      </c>
      <c r="P73" s="24"/>
      <c r="Q73" s="25"/>
      <c r="R73" s="22" t="s">
        <v>8</v>
      </c>
      <c r="S73" s="23">
        <v>0</v>
      </c>
      <c r="T73" s="24"/>
      <c r="U73" s="25"/>
      <c r="V73" s="22" t="s">
        <v>8</v>
      </c>
      <c r="W73" s="23">
        <v>5000</v>
      </c>
      <c r="X73" s="24"/>
      <c r="Y73" s="25"/>
      <c r="Z73" s="22" t="s">
        <v>8</v>
      </c>
      <c r="AA73" s="23">
        <v>1000</v>
      </c>
      <c r="AB73" s="24"/>
      <c r="AC73" s="25"/>
      <c r="AD73" s="22" t="s">
        <v>8</v>
      </c>
      <c r="AE73" s="23">
        <v>1000</v>
      </c>
      <c r="AF73" s="24"/>
      <c r="AG73" s="25"/>
      <c r="AH73" s="22" t="s">
        <v>8</v>
      </c>
      <c r="AI73" s="23">
        <v>1000</v>
      </c>
      <c r="AJ73" s="24"/>
      <c r="AK73" s="25"/>
      <c r="AL73" s="22" t="s">
        <v>8</v>
      </c>
      <c r="AM73" s="23">
        <v>0</v>
      </c>
      <c r="AN73" s="24"/>
      <c r="AO73" s="25"/>
      <c r="AP73" s="22" t="s">
        <v>8</v>
      </c>
      <c r="AQ73" s="23">
        <v>0</v>
      </c>
      <c r="AR73" s="24"/>
      <c r="AS73" s="25"/>
      <c r="AT73" s="22" t="s">
        <v>8</v>
      </c>
      <c r="AU73" s="23">
        <v>0</v>
      </c>
      <c r="AV73" s="24"/>
      <c r="AW73" s="25"/>
      <c r="AX73" s="22" t="s">
        <v>8</v>
      </c>
      <c r="AY73" s="23">
        <v>0</v>
      </c>
      <c r="AZ73" s="24"/>
      <c r="BA73" s="51"/>
    </row>
    <row r="74" spans="1:53"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1</v>
      </c>
      <c r="X74" s="28"/>
      <c r="Y74" s="25"/>
      <c r="Z74" s="26" t="s">
        <v>10</v>
      </c>
      <c r="AA74" s="45">
        <v>1</v>
      </c>
      <c r="AB74" s="28"/>
      <c r="AC74" s="25"/>
      <c r="AD74" s="26" t="s">
        <v>10</v>
      </c>
      <c r="AE74" s="27">
        <v>1</v>
      </c>
      <c r="AF74" s="28"/>
      <c r="AG74" s="25"/>
      <c r="AH74" s="26" t="s">
        <v>10</v>
      </c>
      <c r="AI74" s="45">
        <v>1</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s="51"/>
    </row>
    <row r="75" spans="1:53" s="32" customFormat="1" ht="15.7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22</v>
      </c>
      <c r="AN75" s="28"/>
      <c r="AO75" s="31"/>
      <c r="AP75" s="26" t="s">
        <v>18</v>
      </c>
      <c r="AQ75" s="27" t="s">
        <v>22</v>
      </c>
      <c r="AR75" s="28"/>
      <c r="AS75" s="31"/>
      <c r="AT75" s="26" t="s">
        <v>18</v>
      </c>
      <c r="AU75" s="27" t="s">
        <v>22</v>
      </c>
      <c r="AV75" s="28"/>
      <c r="AW75" s="31"/>
      <c r="AX75" s="26" t="s">
        <v>18</v>
      </c>
      <c r="AY75" s="27" t="s">
        <v>22</v>
      </c>
      <c r="AZ75" s="28"/>
      <c r="BA75" s="51"/>
    </row>
    <row r="76" spans="1:53" s="7" customFormat="1" ht="15.75">
      <c r="A76" s="51"/>
      <c r="B76" s="51"/>
      <c r="C76" s="51"/>
      <c r="D76" s="51"/>
      <c r="E76" s="51"/>
      <c r="F76" s="51"/>
      <c r="G76" s="51"/>
      <c r="H76" s="51"/>
      <c r="I76" s="5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row>
    <row r="77" spans="1:53" s="7" customFormat="1" ht="15.75">
      <c r="A77" s="51"/>
      <c r="B77" s="35" t="s">
        <v>119</v>
      </c>
      <c r="C77" s="36" t="s">
        <v>68</v>
      </c>
      <c r="D77" s="4" t="s">
        <v>36</v>
      </c>
      <c r="E77" s="51"/>
      <c r="F77" s="35" t="s">
        <v>119</v>
      </c>
      <c r="G77" s="36" t="s">
        <v>132</v>
      </c>
      <c r="H77" s="4" t="s">
        <v>36</v>
      </c>
      <c r="I77" s="51"/>
      <c r="J77" s="35" t="s">
        <v>5</v>
      </c>
      <c r="K77" s="47" t="s">
        <v>33</v>
      </c>
      <c r="L77" s="48" t="s">
        <v>36</v>
      </c>
      <c r="M77" s="51"/>
      <c r="N77" s="35" t="s">
        <v>5</v>
      </c>
      <c r="O77" s="36" t="s">
        <v>19</v>
      </c>
      <c r="P77" s="4" t="s">
        <v>37</v>
      </c>
      <c r="Q77" s="51"/>
      <c r="R77" s="35" t="s">
        <v>5</v>
      </c>
      <c r="S77" s="36" t="s">
        <v>51</v>
      </c>
      <c r="T77" s="4" t="s">
        <v>36</v>
      </c>
      <c r="U77" s="51"/>
      <c r="V77" s="35" t="s">
        <v>5</v>
      </c>
      <c r="W77" s="36" t="s">
        <v>52</v>
      </c>
      <c r="X77" s="48" t="s">
        <v>37</v>
      </c>
      <c r="Y77" s="51"/>
      <c r="Z77" s="35" t="s">
        <v>5</v>
      </c>
      <c r="AA77" s="36" t="s">
        <v>53</v>
      </c>
      <c r="AB77" s="48" t="s">
        <v>37</v>
      </c>
      <c r="AC77" s="51"/>
      <c r="AD77" s="35" t="s">
        <v>5</v>
      </c>
      <c r="AE77" s="36" t="s">
        <v>143</v>
      </c>
      <c r="AF77" s="4" t="s">
        <v>37</v>
      </c>
      <c r="AG77" s="51"/>
      <c r="AH77" s="35" t="s">
        <v>5</v>
      </c>
      <c r="AI77" s="36" t="s">
        <v>144</v>
      </c>
      <c r="AJ77" s="4" t="s">
        <v>36</v>
      </c>
      <c r="AK77" s="51"/>
      <c r="AL77" s="35" t="s">
        <v>5</v>
      </c>
      <c r="AM77" s="36" t="s">
        <v>145</v>
      </c>
      <c r="AN77" s="4" t="s">
        <v>37</v>
      </c>
      <c r="AO77" s="51"/>
      <c r="AP77" s="35" t="s">
        <v>5</v>
      </c>
      <c r="AQ77" s="36" t="s">
        <v>145</v>
      </c>
      <c r="AR77" s="4" t="s">
        <v>37</v>
      </c>
      <c r="AS77" s="51"/>
      <c r="AT77" s="35" t="s">
        <v>5</v>
      </c>
      <c r="AU77" s="36" t="s">
        <v>145</v>
      </c>
      <c r="AV77" s="4" t="s">
        <v>37</v>
      </c>
      <c r="AW77" s="51"/>
      <c r="AX77" s="35" t="s">
        <v>5</v>
      </c>
      <c r="AY77" s="47" t="s">
        <v>193</v>
      </c>
      <c r="AZ77" s="48" t="s">
        <v>36</v>
      </c>
      <c r="BA77" s="51"/>
    </row>
    <row r="78" spans="1:53" s="7" customFormat="1" ht="15.75">
      <c r="A78" s="51"/>
      <c r="B78" s="35" t="s">
        <v>38</v>
      </c>
      <c r="C78" s="36" t="s">
        <v>126</v>
      </c>
      <c r="D78" s="38" t="s">
        <v>120</v>
      </c>
      <c r="E78" s="51"/>
      <c r="F78" s="35" t="s">
        <v>38</v>
      </c>
      <c r="G78" s="36" t="s">
        <v>126</v>
      </c>
      <c r="H78" s="38" t="s">
        <v>120</v>
      </c>
      <c r="I78" s="51"/>
      <c r="J78" s="35" t="s">
        <v>38</v>
      </c>
      <c r="K78" s="47" t="s">
        <v>42</v>
      </c>
      <c r="L78" s="47">
        <v>0</v>
      </c>
      <c r="M78" s="51"/>
      <c r="N78" s="35" t="s">
        <v>38</v>
      </c>
      <c r="O78" s="36" t="s">
        <v>43</v>
      </c>
      <c r="P78" s="38">
        <v>15</v>
      </c>
      <c r="Q78" s="51"/>
      <c r="R78" s="35" t="s">
        <v>38</v>
      </c>
      <c r="S78" s="36" t="s">
        <v>62</v>
      </c>
      <c r="T78" s="38" t="s">
        <v>63</v>
      </c>
      <c r="U78" s="51"/>
      <c r="V78" s="35" t="s">
        <v>38</v>
      </c>
      <c r="W78" s="36" t="s">
        <v>62</v>
      </c>
      <c r="X78" s="38" t="s">
        <v>64</v>
      </c>
      <c r="Y78" s="51"/>
      <c r="Z78" s="35" t="s">
        <v>38</v>
      </c>
      <c r="AA78" s="36" t="s">
        <v>62</v>
      </c>
      <c r="AB78" s="38" t="s">
        <v>65</v>
      </c>
      <c r="AC78" s="51"/>
      <c r="AD78" s="35" t="s">
        <v>38</v>
      </c>
      <c r="AE78" s="36" t="s">
        <v>43</v>
      </c>
      <c r="AF78" s="38" t="s">
        <v>146</v>
      </c>
      <c r="AG78" s="51"/>
      <c r="AH78" s="35" t="s">
        <v>38</v>
      </c>
      <c r="AI78" s="36" t="s">
        <v>42</v>
      </c>
      <c r="AJ78" s="36">
        <v>0</v>
      </c>
      <c r="AK78" s="51"/>
      <c r="AL78" s="35" t="s">
        <v>38</v>
      </c>
      <c r="AM78" s="36" t="s">
        <v>147</v>
      </c>
      <c r="AN78" s="36">
        <v>1</v>
      </c>
      <c r="AO78" s="51"/>
      <c r="AP78" s="35" t="s">
        <v>38</v>
      </c>
      <c r="AQ78" s="36" t="s">
        <v>147</v>
      </c>
      <c r="AR78" s="36">
        <v>2</v>
      </c>
      <c r="AS78" s="51"/>
      <c r="AT78" s="35" t="s">
        <v>38</v>
      </c>
      <c r="AU78" s="36" t="s">
        <v>147</v>
      </c>
      <c r="AV78" s="36">
        <v>3</v>
      </c>
      <c r="AW78" s="51"/>
      <c r="AX78" s="35" t="s">
        <v>38</v>
      </c>
      <c r="AY78" s="47" t="s">
        <v>194</v>
      </c>
      <c r="AZ78" s="49" t="s">
        <v>65</v>
      </c>
      <c r="BA78" s="51"/>
    </row>
    <row r="79" spans="1:53" s="7" customFormat="1" ht="15.75">
      <c r="A79" s="51"/>
      <c r="B79" s="35" t="s">
        <v>38</v>
      </c>
      <c r="C79" s="36" t="s">
        <v>125</v>
      </c>
      <c r="D79" s="38" t="s">
        <v>134</v>
      </c>
      <c r="E79" s="51"/>
      <c r="F79" s="35" t="s">
        <v>38</v>
      </c>
      <c r="G79" s="36" t="s">
        <v>125</v>
      </c>
      <c r="H79" s="38" t="s">
        <v>134</v>
      </c>
      <c r="I79" s="51"/>
      <c r="J79" s="35" t="s">
        <v>38</v>
      </c>
      <c r="K79" s="47" t="s">
        <v>39</v>
      </c>
      <c r="L79" s="47">
        <v>2000</v>
      </c>
      <c r="M79" s="51"/>
      <c r="N79" s="35" t="s">
        <v>38</v>
      </c>
      <c r="O79" s="36" t="s">
        <v>44</v>
      </c>
      <c r="P79" s="38" t="s">
        <v>45</v>
      </c>
      <c r="Q79" s="51"/>
      <c r="R79" s="35" t="s">
        <v>38</v>
      </c>
      <c r="S79" s="36" t="s">
        <v>54</v>
      </c>
      <c r="T79" s="49" t="s">
        <v>235</v>
      </c>
      <c r="U79" s="51"/>
      <c r="V79" s="35" t="s">
        <v>38</v>
      </c>
      <c r="W79" s="36" t="s">
        <v>54</v>
      </c>
      <c r="X79" s="38" t="s">
        <v>115</v>
      </c>
      <c r="Y79" s="51"/>
      <c r="Z79" s="35" t="s">
        <v>38</v>
      </c>
      <c r="AA79" s="36" t="s">
        <v>54</v>
      </c>
      <c r="AB79" s="38" t="s">
        <v>118</v>
      </c>
      <c r="AC79" s="51"/>
      <c r="AD79" s="35" t="s">
        <v>38</v>
      </c>
      <c r="AE79" s="36" t="s">
        <v>148</v>
      </c>
      <c r="AF79" s="38" t="s">
        <v>64</v>
      </c>
      <c r="AG79" s="51"/>
      <c r="AH79" s="35" t="s">
        <v>38</v>
      </c>
      <c r="AI79" s="36" t="s">
        <v>149</v>
      </c>
      <c r="AJ79" s="47">
        <v>400</v>
      </c>
      <c r="AK79" s="51"/>
      <c r="AL79" s="35" t="s">
        <v>38</v>
      </c>
      <c r="AM79" s="36" t="s">
        <v>150</v>
      </c>
      <c r="AN79" s="36">
        <v>1200</v>
      </c>
      <c r="AO79" s="51"/>
      <c r="AP79" s="35" t="s">
        <v>38</v>
      </c>
      <c r="AQ79" s="36" t="s">
        <v>150</v>
      </c>
      <c r="AR79" s="36">
        <v>600</v>
      </c>
      <c r="AS79" s="51"/>
      <c r="AT79" s="35" t="s">
        <v>38</v>
      </c>
      <c r="AU79" s="36" t="s">
        <v>150</v>
      </c>
      <c r="AV79" s="36">
        <v>300</v>
      </c>
      <c r="AW79" s="51"/>
      <c r="AX79" s="35" t="s">
        <v>38</v>
      </c>
      <c r="AY79" s="47" t="s">
        <v>195</v>
      </c>
      <c r="AZ79" s="49" t="s">
        <v>196</v>
      </c>
      <c r="BA79" s="51"/>
    </row>
    <row r="80" spans="1:53" s="7" customFormat="1" ht="15.75">
      <c r="A80" s="51"/>
      <c r="B80" s="35" t="s">
        <v>38</v>
      </c>
      <c r="C80" s="36" t="s">
        <v>126</v>
      </c>
      <c r="D80" s="38" t="s">
        <v>121</v>
      </c>
      <c r="E80" s="51"/>
      <c r="F80" s="35" t="s">
        <v>38</v>
      </c>
      <c r="G80" s="36" t="s">
        <v>126</v>
      </c>
      <c r="H80" s="38" t="s">
        <v>121</v>
      </c>
      <c r="I80" s="51"/>
      <c r="J80" s="35" t="s">
        <v>38</v>
      </c>
      <c r="K80" s="47" t="s">
        <v>40</v>
      </c>
      <c r="L80" s="47">
        <v>1000</v>
      </c>
      <c r="M80" s="51"/>
      <c r="N80" s="35" t="s">
        <v>38</v>
      </c>
      <c r="O80" s="36" t="s">
        <v>46</v>
      </c>
      <c r="P80" s="38" t="s">
        <v>47</v>
      </c>
      <c r="Q80" s="51"/>
      <c r="R80" s="35" t="s">
        <v>38</v>
      </c>
      <c r="S80" s="36" t="s">
        <v>67</v>
      </c>
      <c r="T80" s="38" t="s">
        <v>260</v>
      </c>
      <c r="U80" s="51"/>
      <c r="V80" s="35" t="s">
        <v>38</v>
      </c>
      <c r="W80" s="36" t="s">
        <v>67</v>
      </c>
      <c r="X80" s="38" t="s">
        <v>117</v>
      </c>
      <c r="Y80" s="51"/>
      <c r="Z80" s="35" t="s">
        <v>38</v>
      </c>
      <c r="AA80" s="36" t="s">
        <v>67</v>
      </c>
      <c r="AB80" s="38" t="s">
        <v>117</v>
      </c>
      <c r="AC80" s="51"/>
      <c r="AD80" s="35" t="s">
        <v>38</v>
      </c>
      <c r="AE80" s="36" t="s">
        <v>46</v>
      </c>
      <c r="AF80" s="38" t="s">
        <v>142</v>
      </c>
      <c r="AG80" s="51"/>
      <c r="AH80" s="35" t="s">
        <v>38</v>
      </c>
      <c r="AI80" s="36" t="s">
        <v>151</v>
      </c>
      <c r="AJ80" s="47">
        <v>100</v>
      </c>
      <c r="AK80" s="51"/>
      <c r="AL80" s="35" t="s">
        <v>38</v>
      </c>
      <c r="AM80" s="36" t="s">
        <v>152</v>
      </c>
      <c r="AN80" s="36">
        <v>300</v>
      </c>
      <c r="AO80" s="51"/>
      <c r="AP80" s="35" t="s">
        <v>38</v>
      </c>
      <c r="AQ80" s="36" t="s">
        <v>152</v>
      </c>
      <c r="AR80" s="36">
        <v>300</v>
      </c>
      <c r="AS80" s="51"/>
      <c r="AT80" s="35" t="s">
        <v>38</v>
      </c>
      <c r="AU80" s="36" t="s">
        <v>152</v>
      </c>
      <c r="AV80" s="36">
        <v>300</v>
      </c>
      <c r="AW80" s="51"/>
      <c r="AX80" s="35" t="s">
        <v>38</v>
      </c>
      <c r="AY80" s="47" t="s">
        <v>197</v>
      </c>
      <c r="AZ80" s="49" t="s">
        <v>245</v>
      </c>
      <c r="BA80" s="51"/>
    </row>
    <row r="81" spans="1:53" s="7" customFormat="1" ht="15.75">
      <c r="A81" s="51"/>
      <c r="B81" s="35" t="s">
        <v>38</v>
      </c>
      <c r="C81" s="36" t="s">
        <v>125</v>
      </c>
      <c r="D81" s="38" t="s">
        <v>122</v>
      </c>
      <c r="E81" s="51"/>
      <c r="F81" s="35" t="s">
        <v>38</v>
      </c>
      <c r="G81" s="36" t="s">
        <v>125</v>
      </c>
      <c r="H81" s="38" t="s">
        <v>122</v>
      </c>
      <c r="I81" s="51"/>
      <c r="J81" s="35" t="s">
        <v>38</v>
      </c>
      <c r="K81" s="47" t="s">
        <v>41</v>
      </c>
      <c r="L81" s="47">
        <v>500</v>
      </c>
      <c r="M81" s="51"/>
      <c r="N81" s="35" t="s">
        <v>38</v>
      </c>
      <c r="O81" s="36" t="s">
        <v>48</v>
      </c>
      <c r="P81" s="38" t="s">
        <v>49</v>
      </c>
      <c r="Q81" s="51"/>
      <c r="R81" s="35" t="s">
        <v>38</v>
      </c>
      <c r="S81" s="36" t="s">
        <v>66</v>
      </c>
      <c r="T81" s="38" t="s">
        <v>261</v>
      </c>
      <c r="U81" s="51"/>
      <c r="V81" s="35" t="s">
        <v>38</v>
      </c>
      <c r="W81" s="36" t="s">
        <v>66</v>
      </c>
      <c r="X81" s="38" t="s">
        <v>142</v>
      </c>
      <c r="Y81" s="51"/>
      <c r="Z81" s="35" t="s">
        <v>38</v>
      </c>
      <c r="AA81" s="36" t="s">
        <v>66</v>
      </c>
      <c r="AB81" s="38" t="s">
        <v>142</v>
      </c>
      <c r="AC81" s="51"/>
      <c r="AD81" s="35" t="s">
        <v>38</v>
      </c>
      <c r="AE81" s="36" t="s">
        <v>153</v>
      </c>
      <c r="AF81" s="38" t="s">
        <v>64</v>
      </c>
      <c r="AG81" s="51"/>
      <c r="AH81" s="35" t="s">
        <v>38</v>
      </c>
      <c r="AI81" s="36" t="s">
        <v>154</v>
      </c>
      <c r="AJ81" s="47">
        <v>100</v>
      </c>
      <c r="AK81" s="51"/>
      <c r="AL81" s="51"/>
      <c r="AM81" s="51"/>
      <c r="AN81" s="51"/>
      <c r="AO81" s="51"/>
      <c r="AP81" s="51"/>
      <c r="AQ81" s="51"/>
      <c r="AR81" s="51"/>
      <c r="AS81" s="51"/>
      <c r="AT81" s="51"/>
      <c r="AU81" s="51"/>
      <c r="AV81" s="51"/>
      <c r="AW81" s="51"/>
      <c r="AX81" s="35" t="s">
        <v>38</v>
      </c>
      <c r="AY81" s="47" t="s">
        <v>198</v>
      </c>
      <c r="AZ81" s="49" t="s">
        <v>236</v>
      </c>
      <c r="BA81" s="51"/>
    </row>
    <row r="82" spans="1:53" s="7" customFormat="1" ht="15.75">
      <c r="A82" s="51"/>
      <c r="B82" s="35" t="s">
        <v>38</v>
      </c>
      <c r="C82" s="36" t="s">
        <v>126</v>
      </c>
      <c r="D82" s="38" t="s">
        <v>123</v>
      </c>
      <c r="E82" s="51"/>
      <c r="F82" s="35" t="s">
        <v>38</v>
      </c>
      <c r="G82" s="36" t="s">
        <v>126</v>
      </c>
      <c r="H82" s="38" t="s">
        <v>123</v>
      </c>
      <c r="I82" s="51"/>
      <c r="J82" s="51"/>
      <c r="K82" s="51"/>
      <c r="L82" s="51"/>
      <c r="M82" s="51"/>
      <c r="N82" s="35" t="s">
        <v>38</v>
      </c>
      <c r="O82" s="36" t="s">
        <v>50</v>
      </c>
      <c r="P82" s="38" t="s">
        <v>47</v>
      </c>
      <c r="Q82" s="51"/>
      <c r="R82" s="35" t="s">
        <v>38</v>
      </c>
      <c r="S82" s="36" t="s">
        <v>57</v>
      </c>
      <c r="T82" s="38" t="s">
        <v>227</v>
      </c>
      <c r="U82" s="51"/>
      <c r="V82" s="35" t="s">
        <v>38</v>
      </c>
      <c r="W82" s="36" t="s">
        <v>57</v>
      </c>
      <c r="X82" s="38" t="s">
        <v>58</v>
      </c>
      <c r="Y82" s="51"/>
      <c r="Z82" s="35" t="s">
        <v>38</v>
      </c>
      <c r="AA82" s="36" t="s">
        <v>57</v>
      </c>
      <c r="AB82" s="38" t="s">
        <v>58</v>
      </c>
      <c r="AC82" s="51"/>
      <c r="AD82" s="35" t="s">
        <v>38</v>
      </c>
      <c r="AE82" s="36" t="s">
        <v>50</v>
      </c>
      <c r="AF82" s="38" t="s">
        <v>136</v>
      </c>
      <c r="AG82" s="51"/>
      <c r="AH82" s="35" t="s">
        <v>38</v>
      </c>
      <c r="AI82" s="36" t="s">
        <v>155</v>
      </c>
      <c r="AJ82" s="47">
        <v>200</v>
      </c>
      <c r="AK82" s="51"/>
      <c r="AL82" s="51"/>
      <c r="AM82" s="51"/>
      <c r="AN82" s="51"/>
      <c r="AO82" s="51"/>
      <c r="AP82" s="51"/>
      <c r="AQ82" s="51"/>
      <c r="AR82" s="51"/>
      <c r="AS82" s="51"/>
      <c r="AT82" s="51"/>
      <c r="AU82" s="51"/>
      <c r="AV82" s="51"/>
      <c r="AW82" s="51"/>
      <c r="AX82" s="35" t="s">
        <v>38</v>
      </c>
      <c r="AY82" s="47" t="s">
        <v>237</v>
      </c>
      <c r="AZ82" s="49" t="s">
        <v>248</v>
      </c>
      <c r="BA82" s="51"/>
    </row>
    <row r="83" spans="1:53" s="7" customFormat="1" ht="15.75">
      <c r="A83" s="51"/>
      <c r="B83" s="35" t="s">
        <v>38</v>
      </c>
      <c r="C83" s="36" t="s">
        <v>125</v>
      </c>
      <c r="D83" s="38" t="s">
        <v>135</v>
      </c>
      <c r="E83" s="51"/>
      <c r="F83" s="35" t="s">
        <v>38</v>
      </c>
      <c r="G83" s="36" t="s">
        <v>125</v>
      </c>
      <c r="H83" s="38" t="s">
        <v>135</v>
      </c>
      <c r="I83" s="51"/>
      <c r="J83" s="51"/>
      <c r="K83" s="51"/>
      <c r="L83" s="51"/>
      <c r="M83" s="51"/>
      <c r="N83" s="51"/>
      <c r="O83" s="51"/>
      <c r="P83" s="51"/>
      <c r="Q83" s="51"/>
      <c r="R83" s="35" t="s">
        <v>38</v>
      </c>
      <c r="S83" s="36" t="s">
        <v>55</v>
      </c>
      <c r="T83" s="49" t="s">
        <v>246</v>
      </c>
      <c r="U83" s="51"/>
      <c r="V83" s="35" t="s">
        <v>38</v>
      </c>
      <c r="W83" s="36" t="s">
        <v>55</v>
      </c>
      <c r="X83" s="38" t="s">
        <v>239</v>
      </c>
      <c r="Y83" s="51"/>
      <c r="Z83" s="35" t="s">
        <v>38</v>
      </c>
      <c r="AA83" s="36" t="s">
        <v>55</v>
      </c>
      <c r="AB83" s="38" t="s">
        <v>239</v>
      </c>
      <c r="AC83" s="51"/>
      <c r="AD83" s="35" t="s">
        <v>38</v>
      </c>
      <c r="AE83" s="36" t="s">
        <v>156</v>
      </c>
      <c r="AF83" s="38" t="s">
        <v>64</v>
      </c>
      <c r="AG83" s="51"/>
      <c r="AH83" s="35" t="s">
        <v>38</v>
      </c>
      <c r="AI83" s="36" t="s">
        <v>157</v>
      </c>
      <c r="AJ83" s="47">
        <v>100</v>
      </c>
      <c r="AK83" s="51"/>
      <c r="AL83" s="51"/>
      <c r="AM83" s="51"/>
      <c r="AN83" s="51"/>
      <c r="AO83" s="51"/>
      <c r="AP83" s="51"/>
      <c r="AQ83" s="51"/>
      <c r="AR83" s="51"/>
      <c r="AS83" s="51"/>
      <c r="AT83" s="51"/>
      <c r="AU83" s="51"/>
      <c r="AV83" s="51"/>
      <c r="AW83" s="51"/>
      <c r="AX83" s="35" t="s">
        <v>38</v>
      </c>
      <c r="AY83" s="47" t="s">
        <v>199</v>
      </c>
      <c r="AZ83" s="49" t="s">
        <v>240</v>
      </c>
      <c r="BA83" s="51"/>
    </row>
    <row r="84" spans="1:53" s="7" customFormat="1" ht="15.75">
      <c r="A84" s="51"/>
      <c r="B84" s="35" t="s">
        <v>38</v>
      </c>
      <c r="C84" s="36" t="s">
        <v>126</v>
      </c>
      <c r="D84" s="38" t="s">
        <v>124</v>
      </c>
      <c r="E84" s="51"/>
      <c r="F84" s="35" t="s">
        <v>38</v>
      </c>
      <c r="G84" s="36" t="s">
        <v>126</v>
      </c>
      <c r="H84" s="38" t="s">
        <v>124</v>
      </c>
      <c r="I84" s="51"/>
      <c r="J84" s="51"/>
      <c r="K84" s="51"/>
      <c r="L84" s="51"/>
      <c r="M84" s="51"/>
      <c r="N84" s="51"/>
      <c r="O84" s="51"/>
      <c r="P84" s="51"/>
      <c r="Q84" s="51"/>
      <c r="R84" s="35" t="s">
        <v>38</v>
      </c>
      <c r="S84" s="36" t="s">
        <v>56</v>
      </c>
      <c r="T84" s="49" t="s">
        <v>137</v>
      </c>
      <c r="U84" s="51"/>
      <c r="V84" s="35" t="s">
        <v>38</v>
      </c>
      <c r="W84" s="36" t="s">
        <v>56</v>
      </c>
      <c r="X84" s="38" t="s">
        <v>241</v>
      </c>
      <c r="Y84" s="51"/>
      <c r="Z84" s="35" t="s">
        <v>38</v>
      </c>
      <c r="AA84" s="36" t="s">
        <v>56</v>
      </c>
      <c r="AB84" s="38" t="s">
        <v>241</v>
      </c>
      <c r="AC84" s="51"/>
      <c r="AD84" s="35" t="s">
        <v>38</v>
      </c>
      <c r="AE84" s="36" t="s">
        <v>158</v>
      </c>
      <c r="AF84" s="38" t="s">
        <v>159</v>
      </c>
      <c r="AG84" s="51"/>
      <c r="AH84" s="35" t="s">
        <v>38</v>
      </c>
      <c r="AI84" s="36" t="s">
        <v>160</v>
      </c>
      <c r="AJ84" s="47">
        <v>800</v>
      </c>
      <c r="AK84" s="51"/>
      <c r="AL84" s="51"/>
      <c r="AM84" s="51"/>
      <c r="AN84" s="51"/>
      <c r="AO84" s="51"/>
      <c r="AP84" s="51"/>
      <c r="AQ84" s="51"/>
      <c r="AR84" s="51"/>
      <c r="AS84" s="51"/>
      <c r="AT84" s="51"/>
      <c r="AU84" s="51"/>
      <c r="AV84" s="51"/>
      <c r="AW84" s="51"/>
      <c r="AX84" s="35" t="s">
        <v>38</v>
      </c>
      <c r="AY84" s="47" t="s">
        <v>200</v>
      </c>
      <c r="AZ84" s="49" t="s">
        <v>264</v>
      </c>
      <c r="BA84" s="51"/>
    </row>
    <row r="85" spans="1:53" s="7" customFormat="1" ht="15.75">
      <c r="A85" s="51"/>
      <c r="B85" s="35" t="s">
        <v>38</v>
      </c>
      <c r="C85" s="36" t="s">
        <v>125</v>
      </c>
      <c r="D85" s="38" t="s">
        <v>136</v>
      </c>
      <c r="E85" s="51"/>
      <c r="F85" s="35" t="s">
        <v>38</v>
      </c>
      <c r="G85" s="36" t="s">
        <v>125</v>
      </c>
      <c r="H85" s="38" t="s">
        <v>136</v>
      </c>
      <c r="I85" s="51"/>
      <c r="J85" s="51"/>
      <c r="K85" s="51"/>
      <c r="L85" s="51"/>
      <c r="M85" s="51"/>
      <c r="N85" s="51"/>
      <c r="O85" s="51"/>
      <c r="P85" s="51"/>
      <c r="Q85" s="51"/>
      <c r="R85" s="35" t="s">
        <v>38</v>
      </c>
      <c r="S85" s="36" t="s">
        <v>59</v>
      </c>
      <c r="T85" s="49" t="s">
        <v>243</v>
      </c>
      <c r="U85" s="51"/>
      <c r="V85" s="35" t="s">
        <v>38</v>
      </c>
      <c r="W85" s="36" t="s">
        <v>59</v>
      </c>
      <c r="X85" s="38" t="s">
        <v>141</v>
      </c>
      <c r="Y85" s="51"/>
      <c r="Z85" s="35" t="s">
        <v>38</v>
      </c>
      <c r="AA85" s="36" t="s">
        <v>59</v>
      </c>
      <c r="AB85" s="38" t="s">
        <v>141</v>
      </c>
      <c r="AC85" s="51"/>
      <c r="AD85" s="51"/>
      <c r="AE85" s="51"/>
      <c r="AF85" s="51"/>
      <c r="AG85" s="51"/>
      <c r="AH85" s="35" t="s">
        <v>38</v>
      </c>
      <c r="AI85" s="36" t="s">
        <v>255</v>
      </c>
      <c r="AJ85" s="47">
        <v>100</v>
      </c>
      <c r="AK85" s="51"/>
      <c r="AL85" s="51"/>
      <c r="AM85" s="51"/>
      <c r="AN85" s="51"/>
      <c r="AO85" s="51"/>
      <c r="AP85" s="51"/>
      <c r="AQ85" s="51"/>
      <c r="AR85" s="51"/>
      <c r="AS85" s="51"/>
      <c r="AT85" s="51"/>
      <c r="AU85" s="51"/>
      <c r="AV85" s="51"/>
      <c r="AW85" s="51"/>
      <c r="AX85" s="35" t="s">
        <v>38</v>
      </c>
      <c r="AY85" s="47" t="s">
        <v>201</v>
      </c>
      <c r="AZ85" s="52">
        <f>ROUND(AZ80+AZ86*AZ82/1000, 0)</f>
        <v>212483</v>
      </c>
      <c r="BA85" s="51"/>
    </row>
    <row r="86" spans="1:53" s="7" customFormat="1" ht="15.75">
      <c r="A86" s="51"/>
      <c r="B86" s="41" t="s">
        <v>38</v>
      </c>
      <c r="C86" s="42" t="s">
        <v>127</v>
      </c>
      <c r="D86" s="38" t="s">
        <v>63</v>
      </c>
      <c r="E86" s="51"/>
      <c r="F86" s="41" t="s">
        <v>38</v>
      </c>
      <c r="G86" s="42" t="s">
        <v>127</v>
      </c>
      <c r="H86" s="38" t="s">
        <v>64</v>
      </c>
      <c r="I86" s="51"/>
      <c r="J86" s="51"/>
      <c r="K86" s="51"/>
      <c r="L86" s="51"/>
      <c r="M86" s="51"/>
      <c r="N86" s="51"/>
      <c r="O86" s="51"/>
      <c r="P86" s="51"/>
      <c r="Q86" s="51"/>
      <c r="R86" s="35" t="s">
        <v>38</v>
      </c>
      <c r="S86" s="36" t="s">
        <v>60</v>
      </c>
      <c r="T86" s="49" t="s">
        <v>241</v>
      </c>
      <c r="U86" s="51"/>
      <c r="V86" s="35" t="s">
        <v>38</v>
      </c>
      <c r="W86" s="36" t="s">
        <v>60</v>
      </c>
      <c r="X86" s="38" t="s">
        <v>138</v>
      </c>
      <c r="Y86" s="51"/>
      <c r="Z86" s="35" t="s">
        <v>38</v>
      </c>
      <c r="AA86" s="36" t="s">
        <v>60</v>
      </c>
      <c r="AB86" s="38" t="s">
        <v>138</v>
      </c>
      <c r="AC86" s="51"/>
      <c r="AD86" s="51"/>
      <c r="AE86" s="51"/>
      <c r="AF86" s="51"/>
      <c r="AG86" s="51"/>
      <c r="AH86" s="35" t="s">
        <v>38</v>
      </c>
      <c r="AI86" s="36" t="s">
        <v>256</v>
      </c>
      <c r="AJ86" s="47">
        <v>25500</v>
      </c>
      <c r="AK86" s="51"/>
      <c r="AL86" s="51"/>
      <c r="AM86" s="51"/>
      <c r="AN86" s="51"/>
      <c r="AO86" s="51"/>
      <c r="AP86" s="51"/>
      <c r="AQ86" s="51"/>
      <c r="AR86" s="51"/>
      <c r="AS86" s="51"/>
      <c r="AT86" s="51"/>
      <c r="AU86" s="51"/>
      <c r="AV86" s="51"/>
      <c r="AW86" s="51"/>
      <c r="AX86" s="41" t="s">
        <v>38</v>
      </c>
      <c r="AY86" s="53" t="s">
        <v>202</v>
      </c>
      <c r="AZ86" s="52">
        <f>ROUND((AZ79-AZ80)*1000/(AZ82-AZ81),0)</f>
        <v>2833</v>
      </c>
      <c r="BA86" s="51"/>
    </row>
    <row r="87" spans="1:53" s="7" customFormat="1" ht="15.75">
      <c r="A87" s="51"/>
      <c r="B87" s="51"/>
      <c r="C87" s="51"/>
      <c r="D87" s="51"/>
      <c r="E87" s="51"/>
      <c r="F87" s="51"/>
      <c r="G87" s="51"/>
      <c r="H87" s="51"/>
      <c r="I87" s="51"/>
      <c r="J87" s="51"/>
      <c r="K87" s="51"/>
      <c r="L87" s="51"/>
      <c r="M87" s="51"/>
      <c r="N87" s="51"/>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35" t="s">
        <v>38</v>
      </c>
      <c r="AY87" s="47" t="s">
        <v>203</v>
      </c>
      <c r="AZ87" s="52">
        <f>ROUND(AZ84+AZ88*AZ82/1000,0)</f>
        <v>172517</v>
      </c>
      <c r="BA87" s="51"/>
    </row>
    <row r="88" spans="1:53" s="7" customFormat="1" ht="15.75">
      <c r="A88" s="51"/>
      <c r="B88" s="51"/>
      <c r="C88" s="51"/>
      <c r="D88" s="51"/>
      <c r="E88" s="51"/>
      <c r="F88" s="51"/>
      <c r="G88" s="51"/>
      <c r="H88" s="51"/>
      <c r="I88" s="51"/>
      <c r="J88" s="51"/>
      <c r="K88" s="51"/>
      <c r="L88" s="51"/>
      <c r="M88" s="51"/>
      <c r="N88" s="51"/>
      <c r="O88" s="51"/>
      <c r="P88" s="51"/>
      <c r="Q88" s="51"/>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41" t="s">
        <v>38</v>
      </c>
      <c r="AY88" s="53" t="s">
        <v>204</v>
      </c>
      <c r="AZ88" s="52">
        <f>ROUND((AZ83-AZ84)*1000/(AZ82-AZ81),0)</f>
        <v>2167</v>
      </c>
    </row>
    <row r="89" spans="1:53" s="7" customFormat="1" ht="15.75">
      <c r="A89" s="51"/>
      <c r="B89" s="51"/>
      <c r="C89" s="51"/>
      <c r="D89" s="51"/>
      <c r="E89" s="51"/>
      <c r="F89" s="51"/>
      <c r="G89" s="51"/>
      <c r="H89" s="51"/>
      <c r="I89" s="51"/>
      <c r="J89" s="51"/>
      <c r="K89" s="51"/>
      <c r="L89" s="51"/>
      <c r="M89" s="51"/>
      <c r="N89" s="51"/>
      <c r="O89" s="51"/>
      <c r="P89" s="51"/>
      <c r="Q89" s="51"/>
      <c r="U89" s="51"/>
      <c r="V89" s="51"/>
      <c r="W89" s="51"/>
      <c r="X89" s="51"/>
      <c r="Y89" s="51"/>
      <c r="Z89" s="51"/>
      <c r="AA89" s="51"/>
      <c r="AB89" s="51"/>
      <c r="AC89" s="51"/>
      <c r="AD89" s="51"/>
      <c r="AE89" s="51"/>
      <c r="AF89" s="51"/>
      <c r="AG89" s="51"/>
      <c r="AH89" s="51"/>
      <c r="AI89" s="51"/>
      <c r="AJ89" s="51"/>
      <c r="AK89" s="51"/>
      <c r="AL89" s="51"/>
      <c r="AM89" s="51"/>
      <c r="AN89" s="51"/>
      <c r="AO89" s="51"/>
      <c r="AP89" s="51"/>
      <c r="AQ89" s="51"/>
      <c r="AR89" s="51"/>
      <c r="AS89" s="51"/>
      <c r="AT89" s="51"/>
      <c r="AU89" s="51"/>
      <c r="AV89" s="51"/>
      <c r="AW89" s="51"/>
      <c r="AX89" s="35" t="s">
        <v>38</v>
      </c>
      <c r="AY89" s="36" t="s">
        <v>226</v>
      </c>
      <c r="AZ89" s="49" t="s">
        <v>270</v>
      </c>
    </row>
    <row r="90" spans="1:53" s="7" customFormat="1" ht="15.75">
      <c r="A90" s="51"/>
      <c r="B90" s="51"/>
      <c r="C90" s="51"/>
      <c r="D90" s="51"/>
      <c r="E90" s="51"/>
      <c r="F90" s="51"/>
      <c r="G90" s="51"/>
      <c r="H90" s="51"/>
      <c r="I90" s="51"/>
      <c r="J90" s="51"/>
      <c r="K90" s="51"/>
      <c r="L90" s="51"/>
      <c r="M90" s="51"/>
      <c r="N90" s="51"/>
      <c r="O90" s="51"/>
      <c r="P90" s="51"/>
      <c r="Q90" s="51"/>
      <c r="U90" s="51"/>
      <c r="V90" s="51"/>
      <c r="W90" s="51"/>
      <c r="X90" s="51"/>
      <c r="Y90" s="51"/>
      <c r="Z90" s="51"/>
      <c r="AA90" s="51"/>
      <c r="AB90" s="51"/>
      <c r="AC90" s="51"/>
      <c r="AD90" s="51"/>
      <c r="AE90" s="51"/>
      <c r="AF90" s="51"/>
      <c r="AG90" s="51"/>
      <c r="AH90" s="51"/>
      <c r="AI90" s="51"/>
      <c r="AJ90" s="51"/>
      <c r="AK90" s="51"/>
      <c r="AL90" s="51"/>
      <c r="AM90" s="51"/>
      <c r="AN90" s="51"/>
      <c r="AO90" s="51"/>
      <c r="AP90" s="51"/>
      <c r="AQ90" s="51"/>
      <c r="AR90" s="51"/>
      <c r="AS90" s="51"/>
      <c r="AT90" s="51"/>
      <c r="AU90" s="51"/>
      <c r="AV90" s="51"/>
      <c r="AW90" s="51"/>
      <c r="AX90" s="35" t="s">
        <v>38</v>
      </c>
      <c r="AY90" s="36" t="s">
        <v>228</v>
      </c>
      <c r="AZ90" s="49" t="s">
        <v>270</v>
      </c>
    </row>
    <row r="91" spans="1:53" s="7" customFormat="1" ht="15.75">
      <c r="A91" s="51"/>
      <c r="B91" s="51"/>
      <c r="C91" s="51"/>
      <c r="D91" s="51"/>
      <c r="E91" s="51"/>
      <c r="F91" s="51"/>
      <c r="G91" s="51"/>
      <c r="H91" s="51"/>
      <c r="I91" s="51"/>
      <c r="J91" s="51"/>
      <c r="K91" s="51"/>
      <c r="L91" s="51"/>
      <c r="M91" s="51"/>
      <c r="N91" s="51"/>
      <c r="O91" s="51"/>
      <c r="P91" s="51"/>
      <c r="Q91" s="51"/>
      <c r="U91" s="51"/>
      <c r="V91" s="51"/>
      <c r="W91" s="51"/>
      <c r="X91" s="51"/>
      <c r="Y91" s="51"/>
      <c r="Z91" s="51"/>
      <c r="AA91" s="51"/>
      <c r="AB91" s="51"/>
      <c r="AC91" s="51"/>
      <c r="AD91" s="51"/>
      <c r="AE91" s="51"/>
      <c r="AF91" s="51"/>
      <c r="AG91" s="51"/>
      <c r="AH91" s="51"/>
      <c r="AI91" s="51"/>
      <c r="AJ91" s="51"/>
      <c r="AK91" s="51"/>
      <c r="AL91" s="51"/>
      <c r="AM91" s="51"/>
      <c r="AN91" s="51"/>
      <c r="AO91" s="51"/>
      <c r="AP91" s="51"/>
      <c r="AQ91" s="51"/>
      <c r="AR91" s="51"/>
      <c r="AS91" s="51"/>
      <c r="AT91" s="51"/>
      <c r="AU91" s="51"/>
      <c r="AV91" s="51"/>
      <c r="AW91" s="51"/>
      <c r="AX91" s="35" t="s">
        <v>38</v>
      </c>
      <c r="AY91" s="36" t="s">
        <v>229</v>
      </c>
      <c r="AZ91" s="49" t="s">
        <v>230</v>
      </c>
    </row>
    <row r="92" spans="1:53" s="7" customFormat="1" ht="15.75">
      <c r="A92" s="51"/>
      <c r="B92" s="51"/>
      <c r="C92" s="51"/>
      <c r="D92" s="51"/>
      <c r="E92" s="51"/>
      <c r="F92" s="51"/>
      <c r="G92" s="51"/>
      <c r="H92" s="51"/>
      <c r="I92" s="51"/>
      <c r="J92" s="51"/>
      <c r="K92" s="51"/>
      <c r="L92" s="51"/>
      <c r="M92" s="51"/>
      <c r="N92" s="51"/>
      <c r="O92" s="51"/>
      <c r="P92" s="51"/>
      <c r="Q92" s="51"/>
      <c r="U92" s="51"/>
      <c r="V92" s="51"/>
      <c r="W92" s="51"/>
      <c r="X92" s="51"/>
      <c r="Y92" s="51"/>
      <c r="Z92" s="51"/>
      <c r="AA92" s="51"/>
      <c r="AB92" s="51"/>
      <c r="AC92" s="51"/>
      <c r="AD92" s="51"/>
      <c r="AE92" s="51"/>
      <c r="AF92" s="51"/>
      <c r="AG92" s="51"/>
      <c r="AH92" s="51"/>
      <c r="AI92" s="51"/>
      <c r="AJ92" s="51"/>
      <c r="AK92" s="51"/>
      <c r="AL92" s="51"/>
      <c r="AM92" s="51"/>
      <c r="AN92" s="51"/>
      <c r="AO92" s="51"/>
      <c r="AP92" s="51"/>
      <c r="AQ92" s="51"/>
      <c r="AR92" s="51"/>
      <c r="AS92" s="51"/>
      <c r="AT92" s="51"/>
      <c r="AU92" s="51"/>
      <c r="AV92" s="51"/>
      <c r="AW92" s="51"/>
      <c r="AX92" s="51"/>
    </row>
    <row r="93" spans="1:53" s="7" customFormat="1" ht="15.75">
      <c r="A93" s="51"/>
      <c r="B93" s="51"/>
      <c r="C93" s="51"/>
      <c r="D93" s="51"/>
      <c r="E93" s="51"/>
      <c r="F93" s="51"/>
      <c r="G93" s="51"/>
      <c r="H93" s="51"/>
      <c r="I93" s="51"/>
      <c r="J93" s="51"/>
      <c r="K93" s="51"/>
      <c r="L93" s="51"/>
      <c r="M93" s="51"/>
      <c r="N93" s="51"/>
      <c r="O93" s="51"/>
      <c r="P93" s="51"/>
      <c r="Q93" s="51"/>
      <c r="U93" s="51"/>
      <c r="V93" s="51"/>
      <c r="W93" s="51"/>
      <c r="X93" s="51"/>
      <c r="Y93" s="51"/>
      <c r="Z93" s="51"/>
      <c r="AA93" s="51"/>
      <c r="AB93" s="51"/>
      <c r="AC93" s="51"/>
      <c r="AD93" s="51"/>
      <c r="AE93" s="51"/>
      <c r="AF93" s="51"/>
      <c r="AG93" s="51"/>
      <c r="AH93" s="51"/>
      <c r="AI93" s="51"/>
      <c r="AJ93" s="51"/>
      <c r="AK93" s="51"/>
      <c r="AL93" s="51"/>
      <c r="AM93" s="51"/>
      <c r="AN93" s="51"/>
      <c r="AO93" s="51"/>
      <c r="AP93" s="51"/>
      <c r="AQ93" s="51"/>
      <c r="AR93" s="51"/>
      <c r="AS93" s="51"/>
      <c r="AT93" s="51"/>
      <c r="AU93" s="51"/>
      <c r="AV93" s="51"/>
      <c r="AW93" s="51"/>
      <c r="AX93" s="51"/>
    </row>
    <row r="94" spans="1:53" s="7" customFormat="1" ht="15.75">
      <c r="A94" s="51"/>
      <c r="B94" s="51"/>
      <c r="C94" s="51"/>
      <c r="D94" s="51"/>
      <c r="E94" s="51"/>
      <c r="F94" s="51"/>
      <c r="G94" s="51"/>
      <c r="H94" s="51"/>
      <c r="I94" s="51"/>
      <c r="J94" s="51"/>
      <c r="K94" s="51"/>
      <c r="L94" s="51"/>
      <c r="M94" s="51"/>
      <c r="N94" s="51"/>
      <c r="O94" s="51"/>
      <c r="P94" s="51"/>
      <c r="Q94" s="51"/>
      <c r="U94" s="51"/>
      <c r="V94" s="51"/>
      <c r="W94" s="51"/>
      <c r="X94" s="51"/>
      <c r="Y94" s="51"/>
      <c r="Z94" s="51"/>
      <c r="AA94" s="51"/>
      <c r="AB94" s="51"/>
      <c r="AC94" s="51"/>
      <c r="AD94" s="51"/>
      <c r="AE94" s="51"/>
      <c r="AF94" s="51"/>
      <c r="AG94" s="51"/>
      <c r="AH94" s="51"/>
      <c r="AI94" s="51"/>
      <c r="AJ94" s="51"/>
      <c r="AK94" s="51"/>
      <c r="AL94" s="51"/>
      <c r="AM94" s="51"/>
      <c r="AN94" s="51"/>
      <c r="AO94" s="51"/>
      <c r="AP94" s="51"/>
      <c r="AQ94" s="51"/>
      <c r="AR94" s="51"/>
      <c r="AS94" s="51"/>
      <c r="AT94" s="51"/>
      <c r="AU94" s="51"/>
      <c r="AV94" s="51"/>
      <c r="AW94" s="51"/>
      <c r="AX94" s="51"/>
    </row>
    <row r="95" spans="1:53" ht="15.75">
      <c r="A95" s="51"/>
      <c r="B95" s="51"/>
      <c r="C95" s="51"/>
      <c r="D95" s="51"/>
      <c r="E95" s="51"/>
      <c r="F95" s="51"/>
      <c r="G95" s="51"/>
      <c r="H95" s="51"/>
      <c r="I95" s="51"/>
      <c r="J95" s="51"/>
      <c r="K95" s="51"/>
      <c r="L95" s="51"/>
      <c r="M95" s="51"/>
      <c r="N95" s="51"/>
      <c r="O95" s="51"/>
      <c r="P95" s="51"/>
      <c r="Q95" s="51"/>
      <c r="U95" s="51"/>
      <c r="V95" s="51"/>
      <c r="W95" s="51"/>
      <c r="X95" s="51"/>
      <c r="Y95" s="51"/>
      <c r="Z95" s="51"/>
      <c r="AA95" s="51"/>
      <c r="AB95" s="51"/>
      <c r="AC95" s="51"/>
      <c r="AD95" s="51"/>
      <c r="AE95" s="51"/>
      <c r="AF95" s="51"/>
      <c r="AG95" s="51"/>
      <c r="AH95" s="51"/>
      <c r="AI95" s="51"/>
      <c r="AJ95" s="51"/>
      <c r="AK95" s="51"/>
      <c r="AL95" s="51"/>
      <c r="AM95" s="51"/>
      <c r="AN95" s="51"/>
      <c r="AO95" s="51"/>
      <c r="AP95" s="51"/>
      <c r="AQ95" s="51"/>
      <c r="AR95" s="51"/>
      <c r="AS95" s="51"/>
      <c r="AT95" s="51"/>
      <c r="AU95" s="51"/>
      <c r="AV95" s="51"/>
      <c r="AW95" s="51"/>
      <c r="AX95" s="51"/>
      <c r="AY95" s="1"/>
      <c r="AZ95" s="1"/>
      <c r="BA95" s="1"/>
    </row>
    <row r="96" spans="1:53" ht="15.75">
      <c r="A96" s="51"/>
      <c r="B96" s="51"/>
      <c r="C96" s="51"/>
      <c r="D96" s="51"/>
      <c r="E96" s="51"/>
      <c r="F96" s="51"/>
      <c r="G96" s="51"/>
      <c r="H96" s="51"/>
      <c r="I96" s="51"/>
      <c r="J96" s="51"/>
      <c r="K96" s="51"/>
      <c r="L96" s="51"/>
      <c r="M96" s="51"/>
      <c r="N96" s="51"/>
      <c r="O96" s="51"/>
      <c r="P96" s="51"/>
      <c r="Q96" s="51"/>
      <c r="U96" s="51"/>
      <c r="V96" s="51"/>
      <c r="W96" s="51"/>
      <c r="X96" s="51"/>
      <c r="Y96" s="51"/>
      <c r="Z96" s="51"/>
      <c r="AA96" s="51"/>
      <c r="AB96" s="51"/>
      <c r="AC96" s="51"/>
      <c r="AD96" s="51"/>
      <c r="AE96" s="51"/>
      <c r="AF96" s="51"/>
      <c r="AG96" s="51"/>
      <c r="AH96" s="51"/>
      <c r="AI96" s="51"/>
      <c r="AJ96" s="51"/>
      <c r="AK96" s="51"/>
      <c r="AL96" s="51"/>
      <c r="AM96" s="51"/>
      <c r="AN96" s="51"/>
      <c r="AO96" s="51"/>
      <c r="AP96" s="51"/>
      <c r="AQ96" s="51"/>
      <c r="AR96" s="51"/>
      <c r="AS96" s="51"/>
      <c r="AT96" s="51"/>
      <c r="AU96" s="51"/>
      <c r="AV96" s="51"/>
      <c r="AW96" s="51"/>
      <c r="AX96" s="51"/>
      <c r="AY96" s="1"/>
      <c r="AZ96" s="1"/>
      <c r="BA96" s="1"/>
    </row>
    <row r="97" spans="1:53" ht="15.75">
      <c r="A97" s="51"/>
      <c r="B97" s="51"/>
      <c r="C97" s="51"/>
      <c r="D97" s="51"/>
      <c r="E97" s="51"/>
      <c r="F97" s="51"/>
      <c r="G97" s="51"/>
      <c r="H97" s="51"/>
      <c r="I97" s="51"/>
      <c r="J97" s="51"/>
      <c r="K97" s="51"/>
      <c r="L97" s="51"/>
      <c r="M97" s="51"/>
      <c r="N97" s="51"/>
      <c r="O97" s="51"/>
      <c r="P97" s="51"/>
      <c r="Q97" s="51"/>
      <c r="U97" s="51"/>
      <c r="V97" s="51"/>
      <c r="W97" s="51"/>
      <c r="X97" s="51"/>
      <c r="Y97" s="51"/>
      <c r="Z97" s="51"/>
      <c r="AA97" s="51"/>
      <c r="AB97" s="51"/>
      <c r="AC97" s="51"/>
      <c r="AD97" s="51"/>
      <c r="AE97" s="51"/>
      <c r="AF97" s="51"/>
      <c r="AG97" s="51"/>
      <c r="AH97" s="51"/>
      <c r="AI97" s="51"/>
      <c r="AJ97" s="51"/>
      <c r="AK97" s="51"/>
      <c r="AL97" s="51"/>
      <c r="AM97" s="51"/>
      <c r="AN97" s="51"/>
      <c r="AO97" s="51"/>
      <c r="AP97" s="51"/>
      <c r="AQ97" s="51"/>
      <c r="AR97" s="51"/>
      <c r="AS97" s="51"/>
      <c r="AT97" s="51"/>
      <c r="AU97" s="51"/>
      <c r="AV97" s="51"/>
      <c r="AW97" s="51"/>
      <c r="AX97" s="51"/>
      <c r="AY97" s="1"/>
      <c r="AZ97" s="1"/>
      <c r="BA97" s="1"/>
    </row>
    <row r="98" spans="1:53" ht="15.75">
      <c r="A98" s="51"/>
      <c r="B98" s="51"/>
      <c r="C98" s="51"/>
      <c r="D98" s="51"/>
      <c r="E98" s="51"/>
      <c r="F98" s="51"/>
      <c r="G98" s="51"/>
      <c r="H98" s="51"/>
      <c r="I98" s="51"/>
      <c r="J98" s="51"/>
      <c r="K98" s="51"/>
      <c r="L98" s="51"/>
      <c r="M98" s="51"/>
      <c r="N98" s="51"/>
      <c r="O98" s="51"/>
      <c r="P98" s="51"/>
      <c r="Q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c r="AT98" s="51"/>
      <c r="AU98" s="51"/>
      <c r="AV98" s="51"/>
      <c r="AW98" s="51"/>
      <c r="AX98" s="51"/>
      <c r="AY98" s="1"/>
      <c r="AZ98" s="1"/>
      <c r="BA98" s="1"/>
    </row>
    <row r="99" spans="1:53" ht="15.75">
      <c r="A99" s="51"/>
      <c r="B99" s="51"/>
      <c r="C99" s="51"/>
      <c r="D99" s="51"/>
      <c r="E99" s="51"/>
      <c r="F99" s="51"/>
      <c r="G99" s="51"/>
      <c r="H99" s="51"/>
      <c r="I99" s="51"/>
      <c r="J99" s="51"/>
      <c r="K99" s="51"/>
      <c r="L99" s="51"/>
      <c r="M99" s="51"/>
      <c r="N99" s="51"/>
      <c r="O99" s="51"/>
      <c r="P99" s="51"/>
      <c r="Q99" s="51"/>
      <c r="U99" s="51"/>
      <c r="V99" s="51"/>
      <c r="W99" s="51"/>
      <c r="X99" s="51"/>
      <c r="Y99" s="51"/>
      <c r="Z99" s="51"/>
      <c r="AA99" s="51"/>
      <c r="AB99" s="51"/>
      <c r="AC99" s="51"/>
      <c r="AD99" s="51"/>
      <c r="AE99" s="51"/>
      <c r="AF99" s="51"/>
      <c r="AG99" s="51"/>
      <c r="AH99" s="51"/>
      <c r="AI99" s="51"/>
      <c r="AJ99" s="51"/>
      <c r="AK99" s="51"/>
      <c r="AL99" s="51"/>
      <c r="AM99" s="51"/>
      <c r="AN99" s="51"/>
      <c r="AO99" s="51"/>
      <c r="AP99" s="51"/>
      <c r="AQ99" s="51"/>
      <c r="AR99" s="51"/>
      <c r="AS99" s="51"/>
      <c r="AT99" s="51"/>
      <c r="AU99" s="51"/>
      <c r="AV99" s="51"/>
      <c r="AW99" s="51"/>
      <c r="AX99" s="51"/>
      <c r="AY99" s="1"/>
      <c r="AZ99" s="1"/>
      <c r="BA99" s="1"/>
    </row>
    <row r="100" spans="1:53" ht="15.75">
      <c r="A100" s="51"/>
      <c r="B100" s="51"/>
      <c r="C100" s="51"/>
      <c r="D100" s="51"/>
      <c r="E100" s="51"/>
      <c r="F100" s="51"/>
      <c r="G100" s="51"/>
      <c r="H100" s="51"/>
      <c r="I100" s="51"/>
      <c r="J100" s="51"/>
      <c r="K100" s="51"/>
      <c r="L100" s="51"/>
      <c r="M100" s="51"/>
      <c r="N100" s="51"/>
      <c r="O100" s="51"/>
      <c r="P100" s="51"/>
      <c r="Q100" s="51"/>
      <c r="U100" s="51"/>
      <c r="V100" s="51"/>
      <c r="W100" s="51"/>
      <c r="X100" s="51"/>
      <c r="Y100" s="51"/>
      <c r="Z100" s="51"/>
      <c r="AA100" s="51"/>
      <c r="AB100" s="51"/>
      <c r="AC100" s="51"/>
      <c r="AD100" s="51"/>
      <c r="AE100" s="51"/>
      <c r="AF100" s="51"/>
      <c r="AG100" s="51"/>
      <c r="AH100" s="51"/>
      <c r="AI100" s="51"/>
      <c r="AJ100" s="51"/>
      <c r="AK100" s="51"/>
      <c r="AL100" s="51"/>
      <c r="AM100" s="51"/>
      <c r="AN100" s="51"/>
      <c r="AO100" s="51"/>
      <c r="AP100" s="51"/>
      <c r="AQ100" s="51"/>
      <c r="AR100" s="51"/>
      <c r="AS100" s="51"/>
      <c r="AT100" s="51"/>
      <c r="AU100" s="51"/>
      <c r="AV100" s="51"/>
      <c r="AW100" s="51"/>
      <c r="AX100" s="51"/>
      <c r="AY100" s="51"/>
      <c r="AZ100" s="51"/>
      <c r="BA100" s="51"/>
    </row>
    <row r="101" spans="1:53" ht="15.75">
      <c r="A101" s="51"/>
      <c r="B101" s="51"/>
      <c r="C101" s="51"/>
      <c r="D101" s="51"/>
      <c r="E101" s="51"/>
      <c r="F101" s="51"/>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c r="AT101" s="51"/>
      <c r="AU101" s="51"/>
      <c r="AV101" s="51"/>
      <c r="AW101" s="51"/>
      <c r="AX101" s="51"/>
      <c r="AY101" s="51"/>
      <c r="AZ101" s="51"/>
      <c r="BA101" s="51"/>
    </row>
    <row r="102" spans="1:53" ht="15.75">
      <c r="A102" s="51"/>
      <c r="B102" s="51"/>
      <c r="C102" s="51"/>
      <c r="D102" s="51"/>
      <c r="E102" s="51"/>
      <c r="F102" s="51"/>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c r="AT102" s="51"/>
      <c r="AU102" s="51"/>
      <c r="AV102" s="51"/>
      <c r="AW102" s="51"/>
      <c r="AX102" s="51"/>
      <c r="AY102" s="51"/>
      <c r="AZ102" s="51"/>
      <c r="BA102" s="51"/>
    </row>
    <row r="103" spans="1:53" ht="15.75">
      <c r="A103" s="51"/>
      <c r="B103" s="51"/>
      <c r="C103" s="51"/>
      <c r="D103" s="51"/>
      <c r="E103" s="51"/>
      <c r="F103" s="51"/>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c r="AJ103" s="51"/>
      <c r="AK103" s="51"/>
      <c r="AL103" s="51"/>
      <c r="AM103" s="51"/>
      <c r="AN103" s="51"/>
      <c r="AO103" s="51"/>
      <c r="AP103" s="51"/>
      <c r="AQ103" s="51"/>
      <c r="AR103" s="51"/>
      <c r="AS103" s="51"/>
      <c r="AT103" s="51"/>
      <c r="AU103" s="51"/>
      <c r="AV103" s="51"/>
      <c r="AW103" s="51"/>
      <c r="AX103" s="51"/>
      <c r="AY103" s="51"/>
      <c r="AZ103" s="51"/>
      <c r="BA103" s="51"/>
    </row>
    <row r="104" spans="1:53" ht="15.75">
      <c r="A104" s="51"/>
      <c r="B104" s="51"/>
      <c r="C104" s="51"/>
      <c r="D104" s="51"/>
      <c r="E104" s="51"/>
      <c r="F104" s="51"/>
      <c r="G104" s="51"/>
      <c r="H104" s="51"/>
      <c r="I104" s="51"/>
      <c r="J104" s="51"/>
      <c r="K104" s="51"/>
      <c r="L104" s="51"/>
      <c r="M104" s="51"/>
      <c r="N104" s="51"/>
      <c r="O104" s="51"/>
      <c r="P104" s="51"/>
      <c r="Q104" s="51"/>
      <c r="R104" s="51"/>
      <c r="S104" s="51"/>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c r="AT104" s="51"/>
      <c r="AU104" s="51"/>
      <c r="AV104" s="51"/>
      <c r="AW104" s="51"/>
      <c r="AX104" s="51"/>
      <c r="AY104" s="51"/>
      <c r="AZ104" s="51"/>
      <c r="BA104" s="51"/>
    </row>
    <row r="105" spans="1:53" ht="15.75">
      <c r="A105" s="51"/>
      <c r="B105" s="51"/>
      <c r="C105" s="51"/>
      <c r="D105" s="51"/>
      <c r="E105" s="51"/>
      <c r="F105" s="51"/>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c r="AD105" s="51"/>
      <c r="AE105" s="51"/>
      <c r="AF105" s="51"/>
      <c r="AG105" s="51"/>
      <c r="AH105" s="51"/>
      <c r="AI105" s="51"/>
      <c r="AJ105" s="51"/>
      <c r="AK105" s="51"/>
      <c r="AL105" s="51"/>
      <c r="AM105" s="51"/>
      <c r="AN105" s="51"/>
      <c r="AO105" s="51"/>
      <c r="AP105" s="51"/>
      <c r="AQ105" s="51"/>
      <c r="AR105" s="51"/>
      <c r="AS105" s="51"/>
      <c r="AT105" s="51"/>
      <c r="AU105" s="51"/>
      <c r="AV105" s="51"/>
      <c r="AW105" s="51"/>
      <c r="AX105" s="51"/>
      <c r="AY105" s="51"/>
      <c r="AZ105" s="51"/>
      <c r="BA105" s="51"/>
    </row>
    <row r="106" spans="1:53" ht="15.75">
      <c r="A106" s="51"/>
      <c r="B106" s="51"/>
      <c r="C106" s="51"/>
      <c r="D106" s="51"/>
      <c r="E106" s="51"/>
      <c r="F106" s="51"/>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c r="AV106" s="51"/>
      <c r="AW106" s="51"/>
      <c r="AX106" s="51"/>
      <c r="AY106" s="51"/>
      <c r="AZ106" s="51"/>
      <c r="BA106" s="51"/>
    </row>
    <row r="107" spans="1:53" ht="15.75">
      <c r="A107" s="51"/>
      <c r="B107" s="51"/>
      <c r="C107" s="51"/>
      <c r="D107" s="51"/>
      <c r="E107" s="51"/>
      <c r="F107" s="51"/>
      <c r="G107" s="51"/>
      <c r="H107" s="51"/>
      <c r="I107" s="5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c r="AV107" s="51"/>
      <c r="AW107" s="51"/>
      <c r="AX107" s="51"/>
      <c r="AY107" s="51"/>
      <c r="AZ107" s="51"/>
      <c r="BA107" s="51"/>
    </row>
    <row r="108" spans="1:53" ht="15.75">
      <c r="A108" s="51"/>
      <c r="B108" s="51"/>
      <c r="C108" s="51"/>
      <c r="D108" s="51"/>
      <c r="E108" s="51"/>
      <c r="F108" s="51"/>
      <c r="G108" s="51"/>
      <c r="H108" s="51"/>
      <c r="I108" s="5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c r="AV108" s="51"/>
      <c r="AW108" s="51"/>
      <c r="AX108" s="51"/>
      <c r="AY108" s="51"/>
      <c r="AZ108" s="51"/>
      <c r="BA108" s="51"/>
    </row>
    <row r="109" spans="1:53" ht="15.75">
      <c r="A109" s="51"/>
      <c r="B109" s="51"/>
      <c r="C109" s="51"/>
      <c r="D109" s="51"/>
      <c r="E109" s="51"/>
      <c r="F109" s="51"/>
      <c r="G109" s="51"/>
      <c r="H109" s="51"/>
      <c r="I109" s="5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c r="AV109" s="51"/>
      <c r="AW109" s="51"/>
      <c r="AX109" s="51"/>
      <c r="AY109" s="51"/>
      <c r="AZ109" s="51"/>
      <c r="BA109" s="51"/>
    </row>
    <row r="110" spans="1:53" ht="15.75">
      <c r="A110" s="51"/>
      <c r="B110" s="51"/>
      <c r="C110" s="51"/>
      <c r="D110" s="51"/>
      <c r="E110" s="51"/>
      <c r="F110" s="51"/>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c r="AV110" s="51"/>
      <c r="AW110" s="51"/>
      <c r="AX110" s="51"/>
      <c r="AY110" s="51"/>
      <c r="AZ110" s="51"/>
      <c r="BA110" s="51"/>
    </row>
    <row r="111" spans="1:53" ht="15.75">
      <c r="A111" s="51"/>
      <c r="B111" s="51"/>
      <c r="C111" s="51"/>
      <c r="D111" s="51"/>
      <c r="E111" s="51"/>
      <c r="F111" s="51"/>
      <c r="G111" s="51"/>
      <c r="H111" s="51"/>
      <c r="I111" s="5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c r="AV111" s="51"/>
      <c r="AW111" s="51"/>
      <c r="AX111" s="51"/>
      <c r="AY111" s="51"/>
      <c r="AZ111" s="51"/>
      <c r="BA111" s="51"/>
    </row>
    <row r="112" spans="1:53" ht="15.75">
      <c r="A112" s="51"/>
      <c r="B112" s="51"/>
      <c r="C112" s="51"/>
      <c r="D112" s="51"/>
      <c r="E112" s="51"/>
      <c r="F112" s="51"/>
      <c r="G112" s="51"/>
      <c r="H112" s="51"/>
      <c r="I112" s="5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c r="AV112" s="51"/>
      <c r="AW112" s="51"/>
      <c r="AX112" s="51"/>
      <c r="AY112" s="51"/>
      <c r="AZ112" s="51"/>
      <c r="BA112" s="51"/>
    </row>
    <row r="113" spans="1:53" ht="15.75">
      <c r="A113" s="51"/>
      <c r="B113" s="51"/>
      <c r="C113" s="51"/>
      <c r="D113" s="51"/>
      <c r="E113" s="51"/>
      <c r="F113" s="51"/>
      <c r="G113" s="51"/>
      <c r="H113" s="51"/>
      <c r="I113" s="5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c r="AV113" s="51"/>
      <c r="AW113" s="51"/>
      <c r="AX113" s="51"/>
      <c r="AY113" s="51"/>
      <c r="AZ113" s="51"/>
      <c r="BA113" s="51"/>
    </row>
    <row r="114" spans="1:53" ht="15.75">
      <c r="A114" s="51"/>
      <c r="B114" s="51"/>
      <c r="C114" s="51"/>
      <c r="D114" s="51"/>
      <c r="E114" s="51"/>
      <c r="F114" s="51"/>
      <c r="G114" s="51"/>
      <c r="H114" s="51"/>
      <c r="I114" s="5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c r="AV114" s="51"/>
      <c r="AW114" s="51"/>
      <c r="AX114" s="51"/>
      <c r="AY114" s="51"/>
      <c r="AZ114" s="51"/>
      <c r="BA114" s="51"/>
    </row>
    <row r="115" spans="1:53" ht="15.75">
      <c r="A115" s="51"/>
      <c r="B115" s="51"/>
      <c r="C115" s="51"/>
      <c r="D115" s="51"/>
      <c r="E115" s="51"/>
      <c r="F115" s="51"/>
      <c r="G115" s="51"/>
      <c r="H115" s="51"/>
      <c r="I115" s="5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c r="AV115" s="51"/>
      <c r="AW115" s="51"/>
      <c r="AX115" s="51"/>
      <c r="AY115" s="51"/>
      <c r="AZ115" s="51"/>
      <c r="BA115" s="51"/>
    </row>
    <row r="116" spans="1:53" ht="15.75">
      <c r="A116" s="51"/>
      <c r="B116" s="51"/>
      <c r="C116" s="51"/>
      <c r="D116" s="51"/>
      <c r="E116" s="51"/>
      <c r="F116" s="51"/>
      <c r="G116" s="51"/>
      <c r="H116" s="51"/>
      <c r="I116" s="51"/>
      <c r="J116" s="51"/>
      <c r="K116" s="51"/>
      <c r="L116" s="51"/>
      <c r="M116" s="51"/>
      <c r="N116" s="51"/>
      <c r="O116" s="51"/>
      <c r="P116" s="51"/>
      <c r="Q116" s="51"/>
      <c r="R116" s="51"/>
      <c r="S116" s="51"/>
      <c r="T116" s="51"/>
      <c r="U116" s="51"/>
      <c r="V116" s="51"/>
      <c r="W116" s="51"/>
      <c r="X116" s="51"/>
      <c r="Y116" s="51"/>
      <c r="Z116" s="51"/>
      <c r="AA116" s="51"/>
      <c r="AB116" s="51"/>
      <c r="AC116" s="51"/>
      <c r="AD116" s="51"/>
      <c r="AE116" s="51"/>
      <c r="AF116" s="51"/>
      <c r="AG116" s="51"/>
      <c r="AH116" s="51"/>
      <c r="AI116" s="51"/>
      <c r="AJ116" s="51"/>
      <c r="AK116" s="51"/>
      <c r="AL116" s="51"/>
      <c r="AM116" s="51"/>
      <c r="AN116" s="51"/>
      <c r="AO116" s="51"/>
      <c r="AP116" s="51"/>
      <c r="AQ116" s="51"/>
      <c r="AR116" s="51"/>
      <c r="AS116" s="51"/>
      <c r="AT116" s="51"/>
      <c r="AU116" s="51"/>
      <c r="AV116" s="51"/>
      <c r="AW116" s="51"/>
      <c r="AX116" s="51"/>
      <c r="AY116" s="51"/>
      <c r="AZ116" s="51"/>
      <c r="BA116" s="51"/>
    </row>
    <row r="117" spans="1:53" ht="15.75">
      <c r="A117" s="51"/>
      <c r="B117" s="51"/>
      <c r="C117" s="51"/>
      <c r="D117" s="51"/>
      <c r="E117" s="51"/>
      <c r="F117" s="51"/>
      <c r="G117" s="51"/>
      <c r="H117" s="51"/>
      <c r="I117" s="51"/>
      <c r="J117" s="51"/>
      <c r="K117" s="51"/>
      <c r="L117" s="51"/>
      <c r="M117" s="51"/>
      <c r="N117" s="51"/>
      <c r="O117" s="51"/>
      <c r="P117" s="51"/>
      <c r="Q117" s="51"/>
      <c r="R117" s="51"/>
      <c r="S117" s="51"/>
      <c r="T117" s="51"/>
      <c r="U117" s="51"/>
      <c r="V117" s="51"/>
      <c r="W117" s="51"/>
      <c r="X117" s="51"/>
      <c r="Y117" s="51"/>
      <c r="Z117" s="51"/>
      <c r="AA117" s="51"/>
      <c r="AB117" s="51"/>
      <c r="AC117" s="51"/>
      <c r="AD117" s="51"/>
      <c r="AE117" s="51"/>
      <c r="AF117" s="51"/>
      <c r="AG117" s="51"/>
      <c r="AH117" s="51"/>
      <c r="AI117" s="51"/>
      <c r="AJ117" s="51"/>
      <c r="AK117" s="51"/>
      <c r="AL117" s="51"/>
      <c r="AM117" s="51"/>
      <c r="AN117" s="51"/>
      <c r="AO117" s="51"/>
      <c r="AP117" s="51"/>
      <c r="AQ117" s="51"/>
      <c r="AR117" s="51"/>
      <c r="AS117" s="51"/>
      <c r="AT117" s="51"/>
      <c r="AU117" s="51"/>
      <c r="AV117" s="51"/>
      <c r="AW117" s="51"/>
      <c r="AX117" s="51"/>
      <c r="AY117" s="51"/>
      <c r="AZ117" s="51"/>
      <c r="BA117" s="51"/>
    </row>
    <row r="118" spans="1:53" ht="15.75">
      <c r="A118" s="51"/>
      <c r="B118" s="51"/>
      <c r="C118" s="51"/>
      <c r="D118" s="51"/>
      <c r="E118" s="51"/>
      <c r="F118" s="51"/>
      <c r="G118" s="51"/>
      <c r="H118" s="51"/>
      <c r="I118" s="51"/>
      <c r="J118" s="51"/>
      <c r="K118" s="51"/>
      <c r="L118" s="51"/>
      <c r="M118" s="51"/>
      <c r="N118" s="51"/>
      <c r="O118" s="51"/>
      <c r="P118" s="51"/>
      <c r="Q118" s="51"/>
      <c r="R118" s="51"/>
      <c r="S118" s="51"/>
      <c r="T118" s="51"/>
      <c r="U118" s="51"/>
      <c r="V118" s="51"/>
      <c r="W118" s="51"/>
      <c r="X118" s="51"/>
      <c r="Y118" s="51"/>
      <c r="Z118" s="51"/>
      <c r="AA118" s="51"/>
      <c r="AB118" s="51"/>
      <c r="AC118" s="51"/>
      <c r="AD118" s="51"/>
      <c r="AE118" s="51"/>
      <c r="AF118" s="51"/>
      <c r="AG118" s="51"/>
      <c r="AH118" s="51"/>
      <c r="AI118" s="51"/>
      <c r="AJ118" s="51"/>
      <c r="AK118" s="51"/>
      <c r="AL118" s="51"/>
      <c r="AM118" s="51"/>
      <c r="AN118" s="51"/>
      <c r="AO118" s="51"/>
      <c r="AP118" s="51"/>
      <c r="AQ118" s="51"/>
      <c r="AR118" s="51"/>
      <c r="AS118" s="51"/>
      <c r="AT118" s="51"/>
      <c r="AU118" s="51"/>
      <c r="AV118" s="51"/>
      <c r="AW118" s="51"/>
      <c r="AX118" s="51"/>
      <c r="AY118" s="51"/>
      <c r="AZ118" s="51"/>
      <c r="BA118" s="51"/>
    </row>
    <row r="119" spans="1:53" ht="15.75">
      <c r="A119" s="51"/>
      <c r="B119" s="51"/>
      <c r="C119" s="51"/>
      <c r="D119" s="51"/>
      <c r="E119" s="51"/>
      <c r="F119" s="51"/>
      <c r="G119" s="51"/>
      <c r="H119" s="51"/>
      <c r="I119" s="51"/>
      <c r="J119" s="51"/>
      <c r="K119" s="51"/>
      <c r="L119" s="51"/>
      <c r="M119" s="51"/>
      <c r="N119" s="51"/>
      <c r="O119" s="51"/>
      <c r="P119" s="51"/>
      <c r="Q119" s="51"/>
      <c r="R119" s="51"/>
      <c r="S119" s="51"/>
      <c r="T119" s="51"/>
      <c r="U119" s="51"/>
      <c r="V119" s="51"/>
      <c r="W119" s="51"/>
      <c r="X119" s="51"/>
      <c r="Y119" s="51"/>
      <c r="Z119" s="51"/>
      <c r="AA119" s="51"/>
      <c r="AB119" s="51"/>
      <c r="AC119" s="51"/>
      <c r="AD119" s="51"/>
      <c r="AE119" s="51"/>
      <c r="AF119" s="51"/>
      <c r="AG119" s="51"/>
      <c r="AH119" s="51"/>
      <c r="AI119" s="51"/>
      <c r="AJ119" s="51"/>
      <c r="AK119" s="51"/>
      <c r="AL119" s="51"/>
      <c r="AM119" s="51"/>
      <c r="AN119" s="51"/>
      <c r="AO119" s="51"/>
      <c r="AP119" s="51"/>
      <c r="AQ119" s="51"/>
      <c r="AR119" s="51"/>
      <c r="AS119" s="51"/>
      <c r="AT119" s="51"/>
      <c r="AU119" s="51"/>
      <c r="AV119" s="51"/>
      <c r="AW119" s="51"/>
      <c r="AX119" s="51"/>
      <c r="AY119" s="51"/>
      <c r="AZ119" s="51"/>
      <c r="BA119" s="51"/>
    </row>
    <row r="120" spans="1:53" ht="15.75">
      <c r="A120" s="51"/>
      <c r="B120" s="51"/>
      <c r="C120" s="51"/>
      <c r="D120" s="51"/>
      <c r="E120" s="51"/>
      <c r="F120" s="51"/>
      <c r="G120" s="51"/>
      <c r="H120" s="51"/>
      <c r="I120" s="51"/>
      <c r="J120" s="51"/>
      <c r="K120" s="51"/>
      <c r="L120" s="51"/>
      <c r="M120" s="51"/>
      <c r="N120" s="51"/>
      <c r="O120" s="51"/>
      <c r="P120" s="51"/>
      <c r="Q120" s="51"/>
      <c r="R120" s="51"/>
      <c r="S120" s="51"/>
      <c r="T120" s="51"/>
      <c r="U120" s="51"/>
      <c r="V120" s="51"/>
      <c r="W120" s="51"/>
      <c r="X120" s="51"/>
      <c r="Y120" s="51"/>
      <c r="Z120" s="51"/>
      <c r="AA120" s="51"/>
      <c r="AB120" s="51"/>
      <c r="AC120" s="51"/>
      <c r="AD120" s="51"/>
      <c r="AE120" s="51"/>
      <c r="AF120" s="51"/>
      <c r="AG120" s="51"/>
      <c r="AH120" s="51"/>
      <c r="AI120" s="51"/>
      <c r="AJ120" s="51"/>
      <c r="AK120" s="51"/>
      <c r="AL120" s="51"/>
      <c r="AM120" s="51"/>
      <c r="AN120" s="51"/>
      <c r="AO120" s="51"/>
      <c r="AP120" s="51"/>
      <c r="AQ120" s="51"/>
      <c r="AR120" s="51"/>
      <c r="AS120" s="51"/>
      <c r="AT120" s="51"/>
      <c r="AU120" s="51"/>
      <c r="AV120" s="51"/>
      <c r="AW120" s="51"/>
      <c r="AX120" s="51"/>
      <c r="AY120" s="51"/>
      <c r="AZ120" s="51"/>
      <c r="BA120" s="51"/>
    </row>
    <row r="121" spans="1:53" ht="15.75">
      <c r="A121" s="51"/>
      <c r="B121" s="51"/>
      <c r="C121" s="51"/>
      <c r="D121" s="51"/>
      <c r="E121" s="51"/>
      <c r="F121" s="51"/>
      <c r="G121" s="51"/>
      <c r="H121" s="51"/>
      <c r="I121" s="51"/>
      <c r="J121" s="51"/>
      <c r="K121" s="51"/>
      <c r="L121" s="51"/>
      <c r="M121" s="51"/>
      <c r="N121" s="51"/>
      <c r="O121" s="51"/>
      <c r="P121" s="51"/>
      <c r="Q121" s="51"/>
      <c r="R121" s="51"/>
      <c r="S121" s="51"/>
      <c r="T121" s="51"/>
      <c r="U121" s="51"/>
      <c r="V121" s="51"/>
      <c r="W121" s="51"/>
      <c r="X121" s="51"/>
      <c r="Y121" s="51"/>
      <c r="Z121" s="51"/>
      <c r="AA121" s="51"/>
      <c r="AB121" s="51"/>
      <c r="AC121" s="51"/>
      <c r="AD121" s="51"/>
      <c r="AE121" s="51"/>
      <c r="AF121" s="51"/>
      <c r="AG121" s="51"/>
      <c r="AH121" s="51"/>
      <c r="AI121" s="51"/>
      <c r="AJ121" s="51"/>
      <c r="AK121" s="51"/>
      <c r="AL121" s="51"/>
      <c r="AM121" s="51"/>
      <c r="AN121" s="51"/>
      <c r="AO121" s="51"/>
      <c r="AP121" s="51"/>
      <c r="AQ121" s="51"/>
      <c r="AR121" s="51"/>
      <c r="AS121" s="51"/>
      <c r="AT121" s="51"/>
      <c r="AU121" s="51"/>
      <c r="AV121" s="51"/>
      <c r="AW121" s="51"/>
      <c r="AX121" s="51"/>
      <c r="AY121" s="51"/>
      <c r="AZ121" s="51"/>
      <c r="BA121" s="51"/>
    </row>
    <row r="122" spans="1:53" ht="15.75">
      <c r="A122" s="51"/>
      <c r="B122" s="51"/>
      <c r="C122" s="51"/>
      <c r="D122" s="51"/>
      <c r="E122" s="51"/>
      <c r="F122" s="51"/>
      <c r="G122" s="51"/>
      <c r="H122" s="51"/>
      <c r="I122" s="51"/>
      <c r="J122" s="51"/>
      <c r="K122" s="51"/>
      <c r="L122" s="51"/>
      <c r="M122" s="51"/>
      <c r="N122" s="51"/>
      <c r="O122" s="51"/>
      <c r="P122" s="51"/>
      <c r="Q122" s="51"/>
      <c r="R122" s="51"/>
      <c r="S122" s="51"/>
      <c r="T122" s="51"/>
      <c r="U122" s="51"/>
      <c r="V122" s="51"/>
      <c r="W122" s="51"/>
      <c r="X122" s="51"/>
      <c r="Y122" s="51"/>
      <c r="Z122" s="51"/>
      <c r="AA122" s="51"/>
      <c r="AB122" s="51"/>
      <c r="AC122" s="51"/>
      <c r="AD122" s="51"/>
      <c r="AE122" s="51"/>
      <c r="AF122" s="51"/>
      <c r="AG122" s="51"/>
      <c r="AH122" s="51"/>
      <c r="AI122" s="51"/>
      <c r="AJ122" s="51"/>
      <c r="AK122" s="51"/>
      <c r="AL122" s="51"/>
      <c r="AM122" s="51"/>
      <c r="AN122" s="51"/>
      <c r="AO122" s="51"/>
      <c r="AP122" s="51"/>
      <c r="AQ122" s="51"/>
      <c r="AR122" s="51"/>
      <c r="AS122" s="51"/>
      <c r="AT122" s="51"/>
      <c r="AU122" s="51"/>
      <c r="AV122" s="51"/>
      <c r="AW122" s="51"/>
      <c r="AX122" s="51"/>
      <c r="AY122" s="51"/>
      <c r="AZ122" s="51"/>
      <c r="BA122" s="51"/>
    </row>
  </sheetData>
  <phoneticPr fontId="8" type="noConversion"/>
  <dataValidations count="14">
    <dataValidation type="list" allowBlank="1" showInputMessage="1" sqref="C12">
      <formula1>'[4]6755_coolers'!A2:A134</formula1>
    </dataValidation>
    <dataValidation type="list" allowBlank="1" showInputMessage="1" showErrorMessage="1" sqref="C13:C15 AA20:AA22">
      <formula1>"NULL, CPU0 loading(%), Wifi usage(Kb/s), EXIT, mtktscpu, mtktsabb, mtktspmic, mtktsbattery, mtktspa, mtktswmt, mtktsAP, mtktsbuck, mtktsbattery2, mtktsxtal"</formula1>
    </dataValidation>
    <dataValidation type="list" allowBlank="1" showInputMessage="1" sqref="AA5">
      <formula1>'[3]6755_coolers'!A2:A134</formula1>
    </dataValidation>
    <dataValidation type="list" allowBlank="1" showInputMessage="1" sqref="AE5">
      <formula1>'[2]6755_coolers'!A2:A134</formula1>
    </dataValidation>
    <dataValidation type="list" allowBlank="1" showInputMessage="1" showErrorMessage="1" sqref="AE1">
      <formula1>'[2]6755_tz'!A2:A97</formula1>
    </dataValidation>
    <dataValidation type="list" allowBlank="1" showInputMessage="1" showErrorMessage="1" sqref="AA41:AA43 AY20:AY22 AE55:AE57 AE48:AE50 AE41:AE43 AE34:AE36 AE27:AE29 AE20:AE22 AE69:AE71 AE13:AE15 AE62:AE64 AI69:AI71 AU62:AU64 O13:O15 O69:O71 O20:O22 O27:O29 O34:O36 O41:O43 O6:O8 O48:O50 O55:O57 O62:O64 C69:C71 C34:C36 C6:C8 C48:C50 C55:C57 C62:C64 S13:S15 S69:S71 S20:S22 S27:S29 S34:S36 S41:S43 S6:S8 S48:S50 S55:S57 S62:S64 AQ6:AQ8 G69:G71 G20:G22 K69:K71 G27:G29 G34:G36 G41:G43 AY55:AY57 K34:K36 G6:G8 G48:G50 G55:G57 K41:K43 AA6:AA8 G62:G64 K48:K50 K55:K57 K62:K64 W13:W15 W69:W71 W20:W22 W27:W29 W34:W36 W41:W43 W6:W8 W48:W50 W55:W57 W62:W64 C27:C29 AU6:AU8 AM6:AM8 G13:G15 AA55:AA57 AA48:AA50 AI62:AI64 AI13:AI15 C20:C22 AY62:AY64 AA69:AA71 AY69:AY71 AA62:AA64 AY48:AY50 AY41:AY43 AY34:AY36 AY27:AY29 AY13:AY15 AA27:AA29 AY6:AY8 C41:C43 AI20:AI22 AE6:AE8 AM55:AM57 AM48:AM50 AM41:AM43 AM34:AM36 AM27:AM29 AM20:AM22 AM69:AM71 AM13:AM15 AM62:AM64 AA34:AA36 AQ55:AQ57 AQ48:AQ50 AQ41:AQ43 AQ34:AQ36 AQ27:AQ29 AQ20:AQ22 AQ69:AQ71 AQ13:AQ15 AQ62:AQ64 AI48:AI50 AU55:AU57 AU48:AU50 AU41:AU43 AU34:AU36 AU27:AU29 AU20:AU22 AU69:AU71 AU13:AU15 AI6:AI8 AI55:AI57 AI41:AI43 AI34:AI36 AI27:AI29 AA13:AA15 K13:K15 K20:K22 K6:K8 K27:K29">
      <formula1>"NULL, CPU0 loading(%), Wifi usage(Kb/s), &lt; Mobile usage(Kb/s), EXIT, mtktscpu, mtktsabb, mtktspmic, mtktsbattery, mtktspa, mtktswmt, mtktsAP, mtktsbuck, mtktsbattery2, mtktsxtal"</formula1>
    </dataValidation>
    <dataValidation type="list" allowBlank="1" showInputMessage="1" showErrorMessage="1" sqref="T77 D1 H1 T1 X1 P1 AB1 X77 AJ1 AN1 AR1 H77 L77 AZ77 AF1 AB77 P77 D77 AV1 AZ1 AV77 AF77 AJ77 AN77 AR77 L1">
      <formula1>"ENABLE,DISABLE"</formula1>
    </dataValidation>
    <dataValidation type="decimal" allowBlank="1" showInputMessage="1" showErrorMessage="1" errorTitle="Invalid" error="Must be 0 or 1" promptTitle="kernel log" prompt="[1, max step]" sqref="AN78 AR78 AV78">
      <formula1>1</formula1>
      <formula2>5</formula2>
    </dataValidation>
    <dataValidation type="decimal" allowBlank="1" showInputMessage="1" showErrorMessage="1" errorTitle="Invalid" error="Must between [-1, 65535]" promptTitle="Range" prompt="0 or between [100, 25500]" sqref="AN79:AN80 AR79:AR80 AV79:AV80 AJ79:AJ86">
      <formula1>0</formula1>
      <formula2>25500</formula2>
    </dataValidation>
    <dataValidation type="decimal" allowBlank="1" showInputMessage="1" showErrorMessage="1" errorTitle="Invalid" error="Must be 0 or 1" promptTitle="kernel log" prompt="0, off (default)_x000a_1, on" sqref="L78 AJ78">
      <formula1>0</formula1>
      <formula2>1</formula2>
    </dataValidation>
    <dataValidation type="decimal" allowBlank="1" showInputMessage="1" showErrorMessage="1" errorTitle="Invalid" error="Must between [-1, 65535]" promptTitle="Range" prompt="between [-1, 65535]" sqref="L79:L81">
      <formula1>-1</formula1>
      <formula2>65535</formula2>
    </dataValidation>
    <dataValidation type="list" allowBlank="1" showInputMessage="1" showErrorMessage="1" sqref="AU1 C1 G1 AY1 O1 S1 W1 AI1 AA1 AM1 AQ1 K1">
      <formula1>'6755_tz'!A2:A97</formula1>
    </dataValidation>
    <dataValidation type="list" allowBlank="1" showInputMessage="1" sqref="AE61 AE47 AE40 AE33 AE26 AE19 AE12 AE68 AI26 AU5 C5 C33 C47 C54 C61 C68 AU12 G5 G19 G26 G33 G40 G47 G54 G61 G68 AY19 AU68 AY26 AQ5 K33 K40 K47 K54 K61 K68 O12 O5 O19 O26 O33 O40 O47 O54 O61 O68 S12 S5 S19 S26 S33 S40 S47 S54 S61 S68 W12 W5 W19 W26 W33 W40 W47 W54 W61 W68 C40 AY47 G12 AA68 AA61 AA54 AA47 AI19 C19 AY12 AY68 C26 AY40 AY61 AY54 AA12 AA33 AA40 AY33 AY5 AE54 AI12 AM5 AM61 AM54 AM47 AM40 AM33 AM26 AM19 AM12 AM68 AA26 AQ61 AQ54 AQ47 AQ40 AQ33 AQ26 AQ19 AQ12 AQ68 AI47 AU61 AU54 AU47 AU40 AU33 AU26 AU19 AI5 AI61 AI54 AI40 AI33 AI68 K19 K12 K5 K26">
      <formula1>'6755_coolers'!A2:A137</formula1>
    </dataValidation>
    <dataValidation type="list" allowBlank="1" showInputMessage="1" sqref="AA19">
      <formula1>'[1]6735_coolers'!A2:A134</formula1>
    </dataValidation>
  </dataValidations>
  <pageMargins left="0.7" right="0.7" top="0.75" bottom="0.75" header="0.3" footer="0.3"/>
  <pageSetup paperSize="9" orientation="portrait" r:id="rId1"/>
  <legacyDrawing r:id="rId2"/>
</worksheet>
</file>

<file path=xl/worksheets/sheet10.xml><?xml version="1.0" encoding="utf-8"?>
<worksheet xmlns="http://schemas.openxmlformats.org/spreadsheetml/2006/main" xmlns:r="http://schemas.openxmlformats.org/officeDocument/2006/relationships">
  <sheetPr codeName="Sheet83">
    <tabColor rgb="FFFF0000"/>
  </sheetPr>
  <dimension ref="A1:BA122"/>
  <sheetViews>
    <sheetView zoomScale="90" zoomScaleNormal="90" workbookViewId="0">
      <selection activeCell="K1" sqref="K1:L29"/>
    </sheetView>
  </sheetViews>
  <sheetFormatPr defaultRowHeight="14.2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9.140625" style="7"/>
    <col min="54" max="16384" width="9.140625" style="1"/>
  </cols>
  <sheetData>
    <row r="1" spans="1:53" ht="57.75" customHeight="1">
      <c r="A1" s="1" t="s">
        <v>182</v>
      </c>
      <c r="B1" s="2" t="s">
        <v>35</v>
      </c>
      <c r="C1" s="3" t="s">
        <v>23</v>
      </c>
      <c r="D1" s="4" t="s">
        <v>36</v>
      </c>
      <c r="E1" s="5"/>
      <c r="F1" s="2" t="s">
        <v>35</v>
      </c>
      <c r="G1" s="3" t="s">
        <v>24</v>
      </c>
      <c r="H1" s="4" t="s">
        <v>36</v>
      </c>
      <c r="I1" s="5"/>
      <c r="J1" s="2" t="s">
        <v>35</v>
      </c>
      <c r="K1" s="3" t="s">
        <v>25</v>
      </c>
      <c r="L1" s="4" t="s">
        <v>36</v>
      </c>
      <c r="M1" s="6"/>
      <c r="N1" s="2" t="s">
        <v>35</v>
      </c>
      <c r="O1" s="3" t="s">
        <v>26</v>
      </c>
      <c r="P1" s="4" t="s">
        <v>36</v>
      </c>
      <c r="Q1" s="6"/>
      <c r="R1" s="2" t="s">
        <v>35</v>
      </c>
      <c r="S1" s="3" t="s">
        <v>34</v>
      </c>
      <c r="T1" s="4" t="s">
        <v>36</v>
      </c>
      <c r="U1" s="6"/>
      <c r="V1" s="2" t="s">
        <v>35</v>
      </c>
      <c r="W1" s="3" t="s">
        <v>27</v>
      </c>
      <c r="X1" s="4" t="s">
        <v>36</v>
      </c>
      <c r="Y1" s="6"/>
      <c r="Z1" s="2" t="s">
        <v>35</v>
      </c>
      <c r="AA1" s="3" t="s">
        <v>68</v>
      </c>
      <c r="AB1" s="4" t="s">
        <v>36</v>
      </c>
      <c r="AC1" s="6"/>
      <c r="AD1" s="2" t="s">
        <v>35</v>
      </c>
      <c r="AE1" s="3" t="s">
        <v>69</v>
      </c>
      <c r="AF1" s="4" t="s">
        <v>36</v>
      </c>
      <c r="AG1" s="6"/>
      <c r="AH1" s="2" t="s">
        <v>35</v>
      </c>
      <c r="AI1" s="3" t="s">
        <v>132</v>
      </c>
      <c r="AJ1" s="4" t="s">
        <v>36</v>
      </c>
      <c r="AK1" s="6"/>
      <c r="AL1" s="2" t="s">
        <v>35</v>
      </c>
      <c r="AM1" s="3" t="s">
        <v>128</v>
      </c>
      <c r="AN1" s="4" t="s">
        <v>36</v>
      </c>
      <c r="AO1" s="6"/>
      <c r="AP1" s="2" t="s">
        <v>35</v>
      </c>
      <c r="AQ1" s="3" t="s">
        <v>233</v>
      </c>
      <c r="AR1" s="4" t="s">
        <v>36</v>
      </c>
      <c r="AS1" s="6"/>
      <c r="AT1" s="2" t="s">
        <v>35</v>
      </c>
      <c r="AU1" s="3" t="s">
        <v>234</v>
      </c>
      <c r="AV1" s="4" t="s">
        <v>36</v>
      </c>
      <c r="AW1" s="6"/>
      <c r="AX1" s="2" t="s">
        <v>35</v>
      </c>
      <c r="AY1" s="3" t="s">
        <v>129</v>
      </c>
      <c r="AZ1" s="4" t="s">
        <v>36</v>
      </c>
      <c r="BA1" s="51"/>
    </row>
    <row r="2" spans="1:53" ht="30.75" customHeight="1">
      <c r="B2" s="2" t="s">
        <v>9</v>
      </c>
      <c r="C2" s="3">
        <v>2</v>
      </c>
      <c r="D2" s="8"/>
      <c r="E2" s="9"/>
      <c r="F2" s="2" t="s">
        <v>9</v>
      </c>
      <c r="G2" s="3">
        <v>1</v>
      </c>
      <c r="H2" s="8"/>
      <c r="I2" s="10"/>
      <c r="J2" s="2" t="s">
        <v>9</v>
      </c>
      <c r="K2" s="3">
        <v>1</v>
      </c>
      <c r="L2" s="8"/>
      <c r="M2" s="10"/>
      <c r="N2" s="2" t="s">
        <v>9</v>
      </c>
      <c r="O2" s="3">
        <v>1</v>
      </c>
      <c r="P2" s="8"/>
      <c r="Q2" s="10"/>
      <c r="R2" s="2" t="s">
        <v>9</v>
      </c>
      <c r="S2" s="3">
        <v>1</v>
      </c>
      <c r="T2" s="8"/>
      <c r="U2" s="10"/>
      <c r="V2" s="2" t="s">
        <v>9</v>
      </c>
      <c r="W2" s="3">
        <v>1</v>
      </c>
      <c r="X2" s="8"/>
      <c r="Y2" s="10"/>
      <c r="Z2" s="2" t="s">
        <v>9</v>
      </c>
      <c r="AA2" s="3">
        <v>6</v>
      </c>
      <c r="AB2" s="8"/>
      <c r="AC2" s="10"/>
      <c r="AD2" s="2" t="s">
        <v>9</v>
      </c>
      <c r="AE2" s="3">
        <v>1</v>
      </c>
      <c r="AF2" s="8"/>
      <c r="AG2" s="10"/>
      <c r="AH2" s="2" t="s">
        <v>9</v>
      </c>
      <c r="AI2" s="3">
        <v>7</v>
      </c>
      <c r="AJ2" s="46"/>
      <c r="AK2" s="10"/>
      <c r="AL2" s="2" t="s">
        <v>9</v>
      </c>
      <c r="AM2" s="3">
        <v>0</v>
      </c>
      <c r="AN2" s="8"/>
      <c r="AO2" s="10"/>
      <c r="AP2" s="2" t="s">
        <v>9</v>
      </c>
      <c r="AQ2" s="3">
        <v>0</v>
      </c>
      <c r="AR2" s="8"/>
      <c r="AS2" s="10"/>
      <c r="AT2" s="2" t="s">
        <v>9</v>
      </c>
      <c r="AU2" s="3">
        <v>0</v>
      </c>
      <c r="AV2" s="8"/>
      <c r="AW2" s="10"/>
      <c r="AX2" s="2" t="s">
        <v>9</v>
      </c>
      <c r="AY2" s="3">
        <v>0</v>
      </c>
      <c r="AZ2" s="8"/>
      <c r="BA2" s="51"/>
    </row>
    <row r="3" spans="1:53" ht="15" customHeight="1">
      <c r="A3" s="11"/>
      <c r="B3" s="12" t="s">
        <v>7</v>
      </c>
      <c r="C3" s="13">
        <v>117000</v>
      </c>
      <c r="D3" s="14"/>
      <c r="E3" s="9"/>
      <c r="F3" s="12" t="s">
        <v>7</v>
      </c>
      <c r="G3" s="13">
        <v>145000</v>
      </c>
      <c r="H3" s="14"/>
      <c r="I3" s="10"/>
      <c r="J3" s="12" t="s">
        <v>7</v>
      </c>
      <c r="K3" s="13">
        <v>60000</v>
      </c>
      <c r="L3" s="14"/>
      <c r="M3" s="10"/>
      <c r="N3" s="12" t="s">
        <v>7</v>
      </c>
      <c r="O3" s="13">
        <v>120000</v>
      </c>
      <c r="P3" s="14"/>
      <c r="Q3" s="10"/>
      <c r="R3" s="12" t="s">
        <v>7</v>
      </c>
      <c r="S3" s="13">
        <v>117000</v>
      </c>
      <c r="T3" s="14"/>
      <c r="U3" s="10"/>
      <c r="V3" s="12" t="s">
        <v>7</v>
      </c>
      <c r="W3" s="13">
        <v>120000</v>
      </c>
      <c r="X3" s="14"/>
      <c r="Y3" s="10"/>
      <c r="Z3" s="12" t="s">
        <v>7</v>
      </c>
      <c r="AA3" s="13">
        <v>100000</v>
      </c>
      <c r="AB3" s="14"/>
      <c r="AC3" s="10"/>
      <c r="AD3" s="12" t="s">
        <v>7</v>
      </c>
      <c r="AE3" s="13">
        <v>120000</v>
      </c>
      <c r="AF3" s="14"/>
      <c r="AG3" s="10"/>
      <c r="AH3" s="12" t="s">
        <v>7</v>
      </c>
      <c r="AI3" s="13">
        <v>120000</v>
      </c>
      <c r="AJ3" s="43"/>
      <c r="AK3" s="10"/>
      <c r="AL3" s="12" t="s">
        <v>7</v>
      </c>
      <c r="AM3" s="13">
        <v>0</v>
      </c>
      <c r="AN3" s="14"/>
      <c r="AO3" s="10"/>
      <c r="AP3" s="12" t="s">
        <v>7</v>
      </c>
      <c r="AQ3" s="13">
        <v>0</v>
      </c>
      <c r="AR3" s="14"/>
      <c r="AS3" s="10"/>
      <c r="AT3" s="12" t="s">
        <v>7</v>
      </c>
      <c r="AU3" s="13">
        <v>0</v>
      </c>
      <c r="AV3" s="14"/>
      <c r="AW3" s="10"/>
      <c r="AX3" s="12" t="s">
        <v>7</v>
      </c>
      <c r="AY3" s="13">
        <v>0</v>
      </c>
      <c r="AZ3" s="14"/>
      <c r="BA3" s="51"/>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15">
        <v>0</v>
      </c>
      <c r="AJ4" s="43"/>
      <c r="AK4" s="10"/>
      <c r="AL4" s="12" t="s">
        <v>6</v>
      </c>
      <c r="AM4" s="15">
        <v>0</v>
      </c>
      <c r="AN4" s="14"/>
      <c r="AO4" s="10"/>
      <c r="AP4" s="12" t="s">
        <v>6</v>
      </c>
      <c r="AQ4" s="15">
        <v>0</v>
      </c>
      <c r="AR4" s="14"/>
      <c r="AS4" s="10"/>
      <c r="AT4" s="12" t="s">
        <v>6</v>
      </c>
      <c r="AU4" s="15">
        <v>0</v>
      </c>
      <c r="AV4" s="14"/>
      <c r="AW4" s="10"/>
      <c r="AX4" s="12" t="s">
        <v>6</v>
      </c>
      <c r="AY4" s="15">
        <v>0</v>
      </c>
      <c r="AZ4" s="14"/>
      <c r="BA4" s="51"/>
    </row>
    <row r="5" spans="1:53" ht="15" customHeight="1">
      <c r="A5" s="11"/>
      <c r="B5" s="12" t="s">
        <v>5</v>
      </c>
      <c r="C5" s="13" t="s">
        <v>15</v>
      </c>
      <c r="D5" s="14"/>
      <c r="E5" s="9"/>
      <c r="F5" s="12" t="s">
        <v>5</v>
      </c>
      <c r="G5" s="13" t="s">
        <v>1</v>
      </c>
      <c r="H5" s="14"/>
      <c r="I5" s="10"/>
      <c r="J5" s="12" t="s">
        <v>5</v>
      </c>
      <c r="K5" s="13" t="s">
        <v>2</v>
      </c>
      <c r="L5" s="14"/>
      <c r="M5" s="10"/>
      <c r="N5" s="12" t="s">
        <v>5</v>
      </c>
      <c r="O5" s="13" t="s">
        <v>3</v>
      </c>
      <c r="P5" s="14"/>
      <c r="Q5" s="10"/>
      <c r="R5" s="12" t="s">
        <v>5</v>
      </c>
      <c r="S5" s="13" t="s">
        <v>0</v>
      </c>
      <c r="T5" s="14"/>
      <c r="U5" s="10"/>
      <c r="V5" s="12" t="s">
        <v>5</v>
      </c>
      <c r="W5" s="13" t="s">
        <v>16</v>
      </c>
      <c r="X5" s="14"/>
      <c r="Y5" s="10"/>
      <c r="Z5" s="12" t="s">
        <v>5</v>
      </c>
      <c r="AA5" s="13" t="s">
        <v>17</v>
      </c>
      <c r="AB5" s="14"/>
      <c r="AC5" s="10"/>
      <c r="AD5" s="12" t="s">
        <v>5</v>
      </c>
      <c r="AE5" s="13" t="s">
        <v>108</v>
      </c>
      <c r="AF5" s="14"/>
      <c r="AG5" s="10"/>
      <c r="AH5" s="12" t="s">
        <v>5</v>
      </c>
      <c r="AI5" s="13" t="s">
        <v>108</v>
      </c>
      <c r="AJ5" s="43"/>
      <c r="AK5" s="10"/>
      <c r="AL5" s="12" t="s">
        <v>5</v>
      </c>
      <c r="AM5" s="13" t="s">
        <v>4</v>
      </c>
      <c r="AN5" s="14"/>
      <c r="AO5" s="10"/>
      <c r="AP5" s="12" t="s">
        <v>5</v>
      </c>
      <c r="AQ5" s="13" t="s">
        <v>4</v>
      </c>
      <c r="AR5" s="14"/>
      <c r="AS5" s="10"/>
      <c r="AT5" s="12" t="s">
        <v>5</v>
      </c>
      <c r="AU5" s="13" t="s">
        <v>4</v>
      </c>
      <c r="AV5" s="14"/>
      <c r="AW5" s="10"/>
      <c r="AX5" s="12" t="s">
        <v>5</v>
      </c>
      <c r="AY5" s="13" t="s">
        <v>4</v>
      </c>
      <c r="AZ5" s="14"/>
      <c r="BA5" s="51"/>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4">
        <v>0</v>
      </c>
      <c r="AG6" s="10"/>
      <c r="AH6" s="12" t="s">
        <v>11</v>
      </c>
      <c r="AI6" s="15" t="s">
        <v>13</v>
      </c>
      <c r="AJ6" s="15">
        <v>0</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s="51"/>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s="51"/>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s="51"/>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s="51"/>
    </row>
    <row r="10" spans="1:53" ht="15" customHeight="1">
      <c r="A10" s="11"/>
      <c r="B10" s="12" t="s">
        <v>7</v>
      </c>
      <c r="C10" s="44">
        <v>68000</v>
      </c>
      <c r="D10" s="14"/>
      <c r="E10" s="10"/>
      <c r="F10" s="12" t="s">
        <v>7</v>
      </c>
      <c r="G10" s="13">
        <v>0</v>
      </c>
      <c r="H10" s="14"/>
      <c r="I10" s="10"/>
      <c r="J10" s="12" t="s">
        <v>7</v>
      </c>
      <c r="K10" s="13">
        <v>0</v>
      </c>
      <c r="L10" s="14"/>
      <c r="M10" s="10"/>
      <c r="N10" s="12" t="s">
        <v>7</v>
      </c>
      <c r="O10" s="13">
        <v>0</v>
      </c>
      <c r="P10" s="14"/>
      <c r="Q10" s="10"/>
      <c r="R10" s="12" t="s">
        <v>7</v>
      </c>
      <c r="S10" s="13">
        <v>0</v>
      </c>
      <c r="T10" s="14"/>
      <c r="U10" s="10"/>
      <c r="V10" s="12" t="s">
        <v>7</v>
      </c>
      <c r="W10" s="13">
        <v>0</v>
      </c>
      <c r="X10" s="14"/>
      <c r="Y10" s="10"/>
      <c r="Z10" s="12" t="s">
        <v>7</v>
      </c>
      <c r="AA10" s="50">
        <v>90000</v>
      </c>
      <c r="AB10" s="14"/>
      <c r="AC10" s="10"/>
      <c r="AD10" s="12" t="s">
        <v>7</v>
      </c>
      <c r="AE10" s="13">
        <v>0</v>
      </c>
      <c r="AF10" s="14"/>
      <c r="AG10" s="10"/>
      <c r="AH10" s="12" t="s">
        <v>7</v>
      </c>
      <c r="AI10" s="44">
        <v>85000</v>
      </c>
      <c r="AJ10" s="14"/>
      <c r="AK10" s="10"/>
      <c r="AL10" s="12" t="s">
        <v>7</v>
      </c>
      <c r="AM10" s="13">
        <v>0</v>
      </c>
      <c r="AN10" s="14"/>
      <c r="AO10" s="10"/>
      <c r="AP10" s="12" t="s">
        <v>7</v>
      </c>
      <c r="AQ10" s="13">
        <v>0</v>
      </c>
      <c r="AR10" s="14"/>
      <c r="AS10" s="10"/>
      <c r="AT10" s="12" t="s">
        <v>7</v>
      </c>
      <c r="AU10" s="13">
        <v>0</v>
      </c>
      <c r="AV10" s="14"/>
      <c r="AW10" s="10"/>
      <c r="AX10" s="12" t="s">
        <v>7</v>
      </c>
      <c r="AY10" s="13">
        <v>0</v>
      </c>
      <c r="AZ10" s="14"/>
      <c r="BA10" s="51"/>
    </row>
    <row r="11" spans="1:53" ht="15" customHeight="1">
      <c r="A11" s="11"/>
      <c r="B11" s="12" t="s">
        <v>6</v>
      </c>
      <c r="C11" s="15">
        <v>0</v>
      </c>
      <c r="D11" s="14"/>
      <c r="E11" s="10"/>
      <c r="F11" s="12" t="s">
        <v>6</v>
      </c>
      <c r="G11" s="15">
        <v>0</v>
      </c>
      <c r="H11" s="14"/>
      <c r="I11" s="10"/>
      <c r="J11" s="12" t="s">
        <v>6</v>
      </c>
      <c r="K11" s="15">
        <v>0</v>
      </c>
      <c r="L11" s="14"/>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15">
        <v>0</v>
      </c>
      <c r="AJ11" s="14"/>
      <c r="AK11" s="10"/>
      <c r="AL11" s="12" t="s">
        <v>6</v>
      </c>
      <c r="AM11" s="15">
        <v>0</v>
      </c>
      <c r="AN11" s="14"/>
      <c r="AO11" s="10"/>
      <c r="AP11" s="12" t="s">
        <v>6</v>
      </c>
      <c r="AQ11" s="15">
        <v>0</v>
      </c>
      <c r="AR11" s="14"/>
      <c r="AS11" s="10"/>
      <c r="AT11" s="12" t="s">
        <v>6</v>
      </c>
      <c r="AU11" s="15">
        <v>0</v>
      </c>
      <c r="AV11" s="14"/>
      <c r="AW11" s="10"/>
      <c r="AX11" s="12" t="s">
        <v>6</v>
      </c>
      <c r="AY11" s="15">
        <v>0</v>
      </c>
      <c r="AZ11" s="14"/>
      <c r="BA11" s="51"/>
    </row>
    <row r="12" spans="1:53" ht="15" customHeight="1">
      <c r="A12" s="11"/>
      <c r="B12" s="12" t="s">
        <v>5</v>
      </c>
      <c r="C12" s="13" t="s">
        <v>51</v>
      </c>
      <c r="D12" s="14"/>
      <c r="E12" s="10"/>
      <c r="F12" s="12" t="s">
        <v>5</v>
      </c>
      <c r="G12" s="13" t="s">
        <v>4</v>
      </c>
      <c r="H12" s="14"/>
      <c r="I12" s="10"/>
      <c r="J12" s="12" t="s">
        <v>5</v>
      </c>
      <c r="K12" s="13" t="s">
        <v>4</v>
      </c>
      <c r="L12" s="14"/>
      <c r="M12" s="10"/>
      <c r="N12" s="12" t="s">
        <v>5</v>
      </c>
      <c r="O12" s="13" t="s">
        <v>4</v>
      </c>
      <c r="P12" s="14"/>
      <c r="Q12" s="10"/>
      <c r="R12" s="12" t="s">
        <v>5</v>
      </c>
      <c r="S12" s="13" t="s">
        <v>4</v>
      </c>
      <c r="T12" s="14"/>
      <c r="U12" s="10"/>
      <c r="V12" s="12" t="s">
        <v>5</v>
      </c>
      <c r="W12" s="13" t="s">
        <v>4</v>
      </c>
      <c r="X12" s="14"/>
      <c r="Y12" s="10"/>
      <c r="Z12" s="12" t="s">
        <v>5</v>
      </c>
      <c r="AA12" s="50" t="s">
        <v>107</v>
      </c>
      <c r="AB12" s="14"/>
      <c r="AC12" s="10"/>
      <c r="AD12" s="12" t="s">
        <v>5</v>
      </c>
      <c r="AE12" s="13" t="s">
        <v>4</v>
      </c>
      <c r="AF12" s="14"/>
      <c r="AG12" s="10"/>
      <c r="AH12" s="12" t="s">
        <v>5</v>
      </c>
      <c r="AI12" s="54" t="s">
        <v>253</v>
      </c>
      <c r="AJ12" s="14"/>
      <c r="AK12" s="10"/>
      <c r="AL12" s="12" t="s">
        <v>5</v>
      </c>
      <c r="AM12" s="13" t="s">
        <v>4</v>
      </c>
      <c r="AN12" s="14"/>
      <c r="AO12" s="10"/>
      <c r="AP12" s="12" t="s">
        <v>5</v>
      </c>
      <c r="AQ12" s="13" t="s">
        <v>4</v>
      </c>
      <c r="AR12" s="14"/>
      <c r="AS12" s="10"/>
      <c r="AT12" s="12" t="s">
        <v>5</v>
      </c>
      <c r="AU12" s="13" t="s">
        <v>4</v>
      </c>
      <c r="AV12" s="14"/>
      <c r="AW12" s="10"/>
      <c r="AX12" s="12" t="s">
        <v>5</v>
      </c>
      <c r="AY12" s="13" t="s">
        <v>4</v>
      </c>
      <c r="AZ12" s="14"/>
      <c r="BA12" s="51"/>
    </row>
    <row r="13" spans="1:53" ht="15" customHeight="1">
      <c r="A13" s="11"/>
      <c r="B13" s="12" t="s">
        <v>11</v>
      </c>
      <c r="C13" s="15" t="s">
        <v>131</v>
      </c>
      <c r="D13" s="14">
        <v>6000</v>
      </c>
      <c r="E13" s="9"/>
      <c r="F13" s="12" t="s">
        <v>11</v>
      </c>
      <c r="G13" s="15" t="s">
        <v>13</v>
      </c>
      <c r="H13" s="14">
        <v>0</v>
      </c>
      <c r="I13" s="10"/>
      <c r="J13" s="12" t="s">
        <v>11</v>
      </c>
      <c r="K13" s="15" t="s">
        <v>13</v>
      </c>
      <c r="L13" s="14">
        <v>0</v>
      </c>
      <c r="M13" s="10"/>
      <c r="N13" s="12" t="s">
        <v>11</v>
      </c>
      <c r="O13" s="15" t="s">
        <v>13</v>
      </c>
      <c r="P13" s="14">
        <v>0</v>
      </c>
      <c r="Q13" s="10"/>
      <c r="R13" s="12" t="s">
        <v>11</v>
      </c>
      <c r="S13" s="15" t="s">
        <v>13</v>
      </c>
      <c r="T13" s="14">
        <v>0</v>
      </c>
      <c r="U13" s="10"/>
      <c r="V13" s="12" t="s">
        <v>11</v>
      </c>
      <c r="W13" s="15" t="s">
        <v>13</v>
      </c>
      <c r="X13" s="14">
        <v>0</v>
      </c>
      <c r="Y13" s="10"/>
      <c r="Z13" s="12" t="s">
        <v>11</v>
      </c>
      <c r="AA13" s="15" t="s">
        <v>13</v>
      </c>
      <c r="AB13" s="14">
        <v>0</v>
      </c>
      <c r="AC13" s="10"/>
      <c r="AD13" s="12" t="s">
        <v>11</v>
      </c>
      <c r="AE13" s="15" t="s">
        <v>13</v>
      </c>
      <c r="AF13" s="14">
        <v>0</v>
      </c>
      <c r="AG13" s="10"/>
      <c r="AH13" s="12" t="s">
        <v>11</v>
      </c>
      <c r="AI13" s="54" t="s">
        <v>131</v>
      </c>
      <c r="AJ13" s="55">
        <v>2000</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s="51"/>
    </row>
    <row r="14" spans="1:53" ht="15" customHeight="1">
      <c r="A14" s="11"/>
      <c r="B14" s="12" t="s">
        <v>12</v>
      </c>
      <c r="C14" s="15" t="s">
        <v>13</v>
      </c>
      <c r="D14" s="14">
        <v>0</v>
      </c>
      <c r="E14" s="9"/>
      <c r="F14" s="12" t="s">
        <v>12</v>
      </c>
      <c r="G14" s="15" t="s">
        <v>13</v>
      </c>
      <c r="H14" s="14">
        <v>0</v>
      </c>
      <c r="I14" s="10"/>
      <c r="J14" s="12" t="s">
        <v>12</v>
      </c>
      <c r="K14" s="15" t="s">
        <v>13</v>
      </c>
      <c r="L14" s="14">
        <v>0</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6">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s="51"/>
    </row>
    <row r="15" spans="1:53" ht="15" customHeight="1">
      <c r="A15" s="11"/>
      <c r="B15" s="12" t="s">
        <v>14</v>
      </c>
      <c r="C15" s="15" t="s">
        <v>13</v>
      </c>
      <c r="D15" s="14">
        <v>0</v>
      </c>
      <c r="E15" s="9"/>
      <c r="F15" s="12" t="s">
        <v>14</v>
      </c>
      <c r="G15" s="15" t="s">
        <v>13</v>
      </c>
      <c r="H15" s="14">
        <v>0</v>
      </c>
      <c r="I15" s="10"/>
      <c r="J15" s="12" t="s">
        <v>14</v>
      </c>
      <c r="K15" s="15" t="s">
        <v>13</v>
      </c>
      <c r="L15" s="14">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s="51"/>
    </row>
    <row r="16" spans="1:53" s="20" customFormat="1" ht="5.0999999999999996" customHeight="1">
      <c r="A16" s="17"/>
      <c r="B16" s="18"/>
      <c r="C16" s="18"/>
      <c r="D16" s="18"/>
      <c r="E16" s="19"/>
      <c r="F16" s="18"/>
      <c r="G16" s="18"/>
      <c r="H16" s="18"/>
      <c r="I16" s="19"/>
      <c r="J16" s="18"/>
      <c r="K16" s="56"/>
      <c r="L16" s="56"/>
      <c r="M16" s="19"/>
      <c r="N16" s="18"/>
      <c r="O16" s="18"/>
      <c r="P16" s="18"/>
      <c r="Q16" s="19"/>
      <c r="R16" s="18"/>
      <c r="S16" s="18"/>
      <c r="T16" s="18"/>
      <c r="U16" s="19"/>
      <c r="V16" s="18"/>
      <c r="W16" s="18"/>
      <c r="X16" s="18"/>
      <c r="Y16" s="19"/>
      <c r="Z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s="51"/>
    </row>
    <row r="17" spans="1:53" ht="15" customHeight="1">
      <c r="A17" s="11"/>
      <c r="B17" s="12" t="s">
        <v>7</v>
      </c>
      <c r="C17" s="13">
        <v>0</v>
      </c>
      <c r="D17" s="14"/>
      <c r="E17" s="10"/>
      <c r="F17" s="12" t="s">
        <v>7</v>
      </c>
      <c r="G17" s="13">
        <v>0</v>
      </c>
      <c r="H17" s="14"/>
      <c r="I17" s="10"/>
      <c r="J17" s="12" t="s">
        <v>7</v>
      </c>
      <c r="K17" s="13">
        <v>0</v>
      </c>
      <c r="L17" s="14"/>
      <c r="M17" s="10"/>
      <c r="N17" s="12" t="s">
        <v>7</v>
      </c>
      <c r="O17" s="13">
        <v>0</v>
      </c>
      <c r="P17" s="14"/>
      <c r="Q17" s="10"/>
      <c r="R17" s="12" t="s">
        <v>7</v>
      </c>
      <c r="S17" s="13">
        <v>0</v>
      </c>
      <c r="T17" s="14"/>
      <c r="U17" s="10"/>
      <c r="V17" s="12" t="s">
        <v>7</v>
      </c>
      <c r="W17" s="13">
        <v>0</v>
      </c>
      <c r="X17" s="14"/>
      <c r="Y17" s="10"/>
      <c r="Z17" s="12" t="s">
        <v>7</v>
      </c>
      <c r="AA17" s="58">
        <v>57000</v>
      </c>
      <c r="AB17" s="14"/>
      <c r="AC17" s="10"/>
      <c r="AD17" s="12" t="s">
        <v>7</v>
      </c>
      <c r="AE17" s="13">
        <v>0</v>
      </c>
      <c r="AF17" s="14"/>
      <c r="AG17" s="10"/>
      <c r="AH17" s="12" t="s">
        <v>7</v>
      </c>
      <c r="AI17" s="54">
        <v>75000</v>
      </c>
      <c r="AJ17" s="14"/>
      <c r="AK17" s="10"/>
      <c r="AL17" s="12" t="s">
        <v>7</v>
      </c>
      <c r="AM17" s="13">
        <v>0</v>
      </c>
      <c r="AN17" s="14"/>
      <c r="AO17" s="10"/>
      <c r="AP17" s="12" t="s">
        <v>7</v>
      </c>
      <c r="AQ17" s="13">
        <v>0</v>
      </c>
      <c r="AR17" s="14"/>
      <c r="AS17" s="10"/>
      <c r="AT17" s="12" t="s">
        <v>7</v>
      </c>
      <c r="AU17" s="13">
        <v>0</v>
      </c>
      <c r="AV17" s="14"/>
      <c r="AW17" s="10"/>
      <c r="AX17" s="12" t="s">
        <v>7</v>
      </c>
      <c r="AY17" s="13">
        <v>0</v>
      </c>
      <c r="AZ17" s="14"/>
      <c r="BA17" s="51"/>
    </row>
    <row r="18" spans="1:53" ht="15" customHeight="1">
      <c r="A18" s="11"/>
      <c r="B18" s="12" t="s">
        <v>6</v>
      </c>
      <c r="C18" s="15">
        <v>0</v>
      </c>
      <c r="D18" s="14"/>
      <c r="E18" s="10"/>
      <c r="F18" s="12" t="s">
        <v>6</v>
      </c>
      <c r="G18" s="15">
        <v>0</v>
      </c>
      <c r="H18" s="14"/>
      <c r="I18" s="10"/>
      <c r="J18" s="12" t="s">
        <v>6</v>
      </c>
      <c r="K18" s="15">
        <v>0</v>
      </c>
      <c r="L18" s="14"/>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15">
        <v>0</v>
      </c>
      <c r="AJ18" s="14"/>
      <c r="AK18" s="10"/>
      <c r="AL18" s="12" t="s">
        <v>6</v>
      </c>
      <c r="AM18" s="15">
        <v>0</v>
      </c>
      <c r="AN18" s="14"/>
      <c r="AO18" s="10"/>
      <c r="AP18" s="12" t="s">
        <v>6</v>
      </c>
      <c r="AQ18" s="15">
        <v>0</v>
      </c>
      <c r="AR18" s="14"/>
      <c r="AS18" s="10"/>
      <c r="AT18" s="12" t="s">
        <v>6</v>
      </c>
      <c r="AU18" s="15">
        <v>0</v>
      </c>
      <c r="AV18" s="14"/>
      <c r="AW18" s="10"/>
      <c r="AX18" s="12" t="s">
        <v>6</v>
      </c>
      <c r="AY18" s="15">
        <v>0</v>
      </c>
      <c r="AZ18" s="14"/>
      <c r="BA18" s="51"/>
    </row>
    <row r="19" spans="1:53" ht="15" customHeight="1">
      <c r="A19" s="11"/>
      <c r="B19" s="12" t="s">
        <v>5</v>
      </c>
      <c r="C19" s="13" t="s">
        <v>4</v>
      </c>
      <c r="D19" s="14"/>
      <c r="E19" s="10"/>
      <c r="F19" s="12" t="s">
        <v>5</v>
      </c>
      <c r="G19" s="13" t="s">
        <v>4</v>
      </c>
      <c r="H19" s="14"/>
      <c r="I19" s="10"/>
      <c r="J19" s="12" t="s">
        <v>5</v>
      </c>
      <c r="K19" s="13" t="s">
        <v>4</v>
      </c>
      <c r="L19" s="14"/>
      <c r="M19" s="10"/>
      <c r="N19" s="12" t="s">
        <v>5</v>
      </c>
      <c r="O19" s="13" t="s">
        <v>4</v>
      </c>
      <c r="P19" s="14"/>
      <c r="Q19" s="10"/>
      <c r="R19" s="12" t="s">
        <v>5</v>
      </c>
      <c r="S19" s="13" t="s">
        <v>4</v>
      </c>
      <c r="T19" s="14"/>
      <c r="U19" s="10"/>
      <c r="V19" s="12" t="s">
        <v>5</v>
      </c>
      <c r="W19" s="13" t="s">
        <v>4</v>
      </c>
      <c r="X19" s="14"/>
      <c r="Y19" s="10"/>
      <c r="Z19" s="12" t="s">
        <v>5</v>
      </c>
      <c r="AA19" s="58" t="s">
        <v>265</v>
      </c>
      <c r="AB19" s="14"/>
      <c r="AC19" s="10"/>
      <c r="AD19" s="12" t="s">
        <v>5</v>
      </c>
      <c r="AE19" s="13" t="s">
        <v>4</v>
      </c>
      <c r="AF19" s="14"/>
      <c r="AG19" s="10"/>
      <c r="AH19" s="12" t="s">
        <v>5</v>
      </c>
      <c r="AI19" s="54" t="s">
        <v>251</v>
      </c>
      <c r="AJ19" s="14"/>
      <c r="AK19" s="10"/>
      <c r="AL19" s="12" t="s">
        <v>5</v>
      </c>
      <c r="AM19" s="13" t="s">
        <v>4</v>
      </c>
      <c r="AN19" s="14"/>
      <c r="AO19" s="10"/>
      <c r="AP19" s="12" t="s">
        <v>5</v>
      </c>
      <c r="AQ19" s="13" t="s">
        <v>4</v>
      </c>
      <c r="AR19" s="14"/>
      <c r="AS19" s="10"/>
      <c r="AT19" s="12" t="s">
        <v>5</v>
      </c>
      <c r="AU19" s="13" t="s">
        <v>4</v>
      </c>
      <c r="AV19" s="14"/>
      <c r="AW19" s="10"/>
      <c r="AX19" s="12" t="s">
        <v>5</v>
      </c>
      <c r="AY19" s="13" t="s">
        <v>4</v>
      </c>
      <c r="AZ19" s="14"/>
      <c r="BA19" s="51"/>
    </row>
    <row r="20" spans="1:53" ht="15" customHeight="1">
      <c r="A20" s="11"/>
      <c r="B20" s="12" t="s">
        <v>11</v>
      </c>
      <c r="C20" s="15" t="s">
        <v>13</v>
      </c>
      <c r="D20" s="43">
        <v>0</v>
      </c>
      <c r="E20" s="9"/>
      <c r="F20" s="12" t="s">
        <v>11</v>
      </c>
      <c r="G20" s="15" t="s">
        <v>13</v>
      </c>
      <c r="H20" s="14">
        <v>0</v>
      </c>
      <c r="I20" s="10"/>
      <c r="J20" s="12" t="s">
        <v>11</v>
      </c>
      <c r="K20" s="15" t="s">
        <v>13</v>
      </c>
      <c r="L20" s="14">
        <v>0</v>
      </c>
      <c r="M20" s="10"/>
      <c r="N20" s="12" t="s">
        <v>11</v>
      </c>
      <c r="O20" s="15" t="s">
        <v>13</v>
      </c>
      <c r="P20" s="14">
        <v>0</v>
      </c>
      <c r="Q20" s="10"/>
      <c r="R20" s="12" t="s">
        <v>11</v>
      </c>
      <c r="S20" s="15" t="s">
        <v>13</v>
      </c>
      <c r="T20" s="14">
        <v>0</v>
      </c>
      <c r="U20" s="10"/>
      <c r="V20" s="12" t="s">
        <v>11</v>
      </c>
      <c r="W20" s="15" t="s">
        <v>13</v>
      </c>
      <c r="X20" s="14">
        <v>0</v>
      </c>
      <c r="Y20" s="10"/>
      <c r="Z20" s="12" t="s">
        <v>11</v>
      </c>
      <c r="AA20" s="59" t="s">
        <v>131</v>
      </c>
      <c r="AB20" s="60">
        <v>5000</v>
      </c>
      <c r="AC20" s="10"/>
      <c r="AD20" s="12" t="s">
        <v>11</v>
      </c>
      <c r="AE20" s="15" t="s">
        <v>13</v>
      </c>
      <c r="AF20" s="14">
        <v>0</v>
      </c>
      <c r="AG20" s="10"/>
      <c r="AH20" s="12" t="s">
        <v>11</v>
      </c>
      <c r="AI20" s="54" t="s">
        <v>131</v>
      </c>
      <c r="AJ20" s="55">
        <v>2000</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s="51"/>
    </row>
    <row r="21" spans="1:53" ht="15" customHeight="1">
      <c r="A21" s="11"/>
      <c r="B21" s="12" t="s">
        <v>12</v>
      </c>
      <c r="C21" s="15" t="s">
        <v>13</v>
      </c>
      <c r="D21" s="14">
        <v>0</v>
      </c>
      <c r="E21" s="9"/>
      <c r="F21" s="12" t="s">
        <v>12</v>
      </c>
      <c r="G21" s="15" t="s">
        <v>13</v>
      </c>
      <c r="H21" s="14">
        <v>0</v>
      </c>
      <c r="I21" s="10"/>
      <c r="J21" s="12" t="s">
        <v>12</v>
      </c>
      <c r="K21" s="15" t="s">
        <v>13</v>
      </c>
      <c r="L21" s="14">
        <v>0</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15" t="s">
        <v>13</v>
      </c>
      <c r="AJ21" s="55">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s="51"/>
    </row>
    <row r="22" spans="1:53" ht="15" customHeight="1">
      <c r="A22" s="11"/>
      <c r="B22" s="12" t="s">
        <v>14</v>
      </c>
      <c r="C22" s="15" t="s">
        <v>13</v>
      </c>
      <c r="D22" s="14">
        <v>0</v>
      </c>
      <c r="E22" s="9"/>
      <c r="F22" s="12" t="s">
        <v>14</v>
      </c>
      <c r="G22" s="15" t="s">
        <v>13</v>
      </c>
      <c r="H22" s="14">
        <v>0</v>
      </c>
      <c r="I22" s="10"/>
      <c r="J22" s="12" t="s">
        <v>14</v>
      </c>
      <c r="K22" s="15" t="s">
        <v>13</v>
      </c>
      <c r="L22" s="14">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15" t="s">
        <v>13</v>
      </c>
      <c r="AJ22" s="14">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s="51"/>
    </row>
    <row r="23" spans="1:53" s="20" customFormat="1" ht="5.0999999999999996" customHeight="1">
      <c r="A23" s="17"/>
      <c r="B23" s="18"/>
      <c r="C23" s="18"/>
      <c r="D23" s="18"/>
      <c r="E23" s="19"/>
      <c r="F23" s="18"/>
      <c r="G23" s="18"/>
      <c r="H23" s="18"/>
      <c r="I23" s="19"/>
      <c r="J23" s="18"/>
      <c r="K23" s="56"/>
      <c r="L23" s="56"/>
      <c r="M23" s="19"/>
      <c r="N23" s="18"/>
      <c r="O23" s="18"/>
      <c r="P23" s="18"/>
      <c r="Q23" s="19"/>
      <c r="R23" s="18"/>
      <c r="S23" s="18"/>
      <c r="T23" s="18"/>
      <c r="U23" s="19"/>
      <c r="V23" s="18"/>
      <c r="W23" s="18"/>
      <c r="X23" s="18"/>
      <c r="Y23" s="19"/>
      <c r="Z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s="51"/>
    </row>
    <row r="24" spans="1:53" ht="15" customHeight="1">
      <c r="A24" s="11"/>
      <c r="B24" s="12" t="s">
        <v>7</v>
      </c>
      <c r="C24" s="13">
        <v>0</v>
      </c>
      <c r="D24" s="14"/>
      <c r="E24" s="10"/>
      <c r="F24" s="12" t="s">
        <v>7</v>
      </c>
      <c r="G24" s="13">
        <v>0</v>
      </c>
      <c r="H24" s="14"/>
      <c r="I24" s="10"/>
      <c r="J24" s="12" t="s">
        <v>7</v>
      </c>
      <c r="K24" s="13">
        <v>0</v>
      </c>
      <c r="L24" s="14"/>
      <c r="M24" s="10"/>
      <c r="N24" s="12" t="s">
        <v>7</v>
      </c>
      <c r="O24" s="13">
        <v>0</v>
      </c>
      <c r="P24" s="14"/>
      <c r="Q24" s="10"/>
      <c r="R24" s="12" t="s">
        <v>7</v>
      </c>
      <c r="S24" s="13">
        <v>0</v>
      </c>
      <c r="T24" s="14"/>
      <c r="U24" s="10"/>
      <c r="V24" s="12" t="s">
        <v>7</v>
      </c>
      <c r="W24" s="13">
        <v>0</v>
      </c>
      <c r="X24" s="14"/>
      <c r="Y24" s="10"/>
      <c r="Z24" s="12" t="s">
        <v>7</v>
      </c>
      <c r="AA24" s="44">
        <v>50000</v>
      </c>
      <c r="AB24" s="43"/>
      <c r="AC24" s="10"/>
      <c r="AD24" s="12" t="s">
        <v>7</v>
      </c>
      <c r="AE24" s="13">
        <v>0</v>
      </c>
      <c r="AF24" s="14"/>
      <c r="AG24" s="10"/>
      <c r="AH24" s="12" t="s">
        <v>7</v>
      </c>
      <c r="AI24" s="54">
        <v>72000</v>
      </c>
      <c r="AJ24" s="14"/>
      <c r="AK24" s="10"/>
      <c r="AL24" s="12" t="s">
        <v>7</v>
      </c>
      <c r="AM24" s="13">
        <v>0</v>
      </c>
      <c r="AN24" s="14"/>
      <c r="AO24" s="10"/>
      <c r="AP24" s="12" t="s">
        <v>7</v>
      </c>
      <c r="AQ24" s="13">
        <v>0</v>
      </c>
      <c r="AR24" s="14"/>
      <c r="AS24" s="10"/>
      <c r="AT24" s="12" t="s">
        <v>7</v>
      </c>
      <c r="AU24" s="13">
        <v>0</v>
      </c>
      <c r="AV24" s="14"/>
      <c r="AW24" s="10"/>
      <c r="AX24" s="12" t="s">
        <v>7</v>
      </c>
      <c r="AY24" s="13">
        <v>0</v>
      </c>
      <c r="AZ24" s="14"/>
      <c r="BA24" s="51"/>
    </row>
    <row r="25" spans="1:53" ht="15" customHeight="1">
      <c r="A25" s="11"/>
      <c r="B25" s="12" t="s">
        <v>6</v>
      </c>
      <c r="C25" s="15">
        <v>0</v>
      </c>
      <c r="D25" s="14"/>
      <c r="E25" s="10"/>
      <c r="F25" s="12" t="s">
        <v>6</v>
      </c>
      <c r="G25" s="15">
        <v>0</v>
      </c>
      <c r="H25" s="14"/>
      <c r="I25" s="10"/>
      <c r="J25" s="12" t="s">
        <v>6</v>
      </c>
      <c r="K25" s="15">
        <v>0</v>
      </c>
      <c r="L25" s="14"/>
      <c r="M25" s="10"/>
      <c r="N25" s="12" t="s">
        <v>6</v>
      </c>
      <c r="O25" s="15">
        <v>0</v>
      </c>
      <c r="P25" s="14"/>
      <c r="Q25" s="10"/>
      <c r="R25" s="12" t="s">
        <v>6</v>
      </c>
      <c r="S25" s="15">
        <v>0</v>
      </c>
      <c r="T25" s="14"/>
      <c r="U25" s="10"/>
      <c r="V25" s="12" t="s">
        <v>6</v>
      </c>
      <c r="W25" s="15">
        <v>0</v>
      </c>
      <c r="X25" s="14"/>
      <c r="Y25" s="10"/>
      <c r="Z25" s="12" t="s">
        <v>6</v>
      </c>
      <c r="AA25" s="44">
        <v>0</v>
      </c>
      <c r="AB25" s="43"/>
      <c r="AC25" s="10"/>
      <c r="AD25" s="12" t="s">
        <v>6</v>
      </c>
      <c r="AE25" s="15">
        <v>0</v>
      </c>
      <c r="AF25" s="14"/>
      <c r="AG25" s="10"/>
      <c r="AH25" s="12" t="s">
        <v>6</v>
      </c>
      <c r="AI25" s="15">
        <v>0</v>
      </c>
      <c r="AJ25" s="14"/>
      <c r="AK25" s="10"/>
      <c r="AL25" s="12" t="s">
        <v>6</v>
      </c>
      <c r="AM25" s="15">
        <v>0</v>
      </c>
      <c r="AN25" s="14"/>
      <c r="AO25" s="10"/>
      <c r="AP25" s="12" t="s">
        <v>6</v>
      </c>
      <c r="AQ25" s="15">
        <v>0</v>
      </c>
      <c r="AR25" s="14"/>
      <c r="AS25" s="10"/>
      <c r="AT25" s="12" t="s">
        <v>6</v>
      </c>
      <c r="AU25" s="15">
        <v>0</v>
      </c>
      <c r="AV25" s="14"/>
      <c r="AW25" s="10"/>
      <c r="AX25" s="12" t="s">
        <v>6</v>
      </c>
      <c r="AY25" s="15">
        <v>0</v>
      </c>
      <c r="AZ25" s="14"/>
      <c r="BA25" s="51"/>
    </row>
    <row r="26" spans="1:53" ht="15" customHeight="1">
      <c r="A26" s="11"/>
      <c r="B26" s="12" t="s">
        <v>5</v>
      </c>
      <c r="C26" s="13" t="s">
        <v>4</v>
      </c>
      <c r="D26" s="14"/>
      <c r="E26" s="10"/>
      <c r="F26" s="12" t="s">
        <v>5</v>
      </c>
      <c r="G26" s="13" t="s">
        <v>4</v>
      </c>
      <c r="H26" s="14"/>
      <c r="I26" s="10"/>
      <c r="J26" s="12" t="s">
        <v>5</v>
      </c>
      <c r="K26" s="13" t="s">
        <v>4</v>
      </c>
      <c r="L26" s="14"/>
      <c r="M26" s="10"/>
      <c r="N26" s="12" t="s">
        <v>5</v>
      </c>
      <c r="O26" s="13" t="s">
        <v>4</v>
      </c>
      <c r="P26" s="14"/>
      <c r="Q26" s="10"/>
      <c r="R26" s="12" t="s">
        <v>5</v>
      </c>
      <c r="S26" s="13" t="s">
        <v>4</v>
      </c>
      <c r="T26" s="14"/>
      <c r="U26" s="10"/>
      <c r="V26" s="12" t="s">
        <v>5</v>
      </c>
      <c r="W26" s="13" t="s">
        <v>4</v>
      </c>
      <c r="X26" s="14"/>
      <c r="Y26" s="10"/>
      <c r="Z26" s="12" t="s">
        <v>5</v>
      </c>
      <c r="AA26" s="44" t="s">
        <v>113</v>
      </c>
      <c r="AB26" s="43"/>
      <c r="AC26" s="10"/>
      <c r="AD26" s="12" t="s">
        <v>5</v>
      </c>
      <c r="AE26" s="13" t="s">
        <v>4</v>
      </c>
      <c r="AF26" s="14"/>
      <c r="AG26" s="10"/>
      <c r="AH26" s="12" t="s">
        <v>5</v>
      </c>
      <c r="AI26" s="54" t="s">
        <v>257</v>
      </c>
      <c r="AJ26" s="14"/>
      <c r="AK26" s="10"/>
      <c r="AL26" s="12" t="s">
        <v>5</v>
      </c>
      <c r="AM26" s="13" t="s">
        <v>4</v>
      </c>
      <c r="AN26" s="14"/>
      <c r="AO26" s="10"/>
      <c r="AP26" s="12" t="s">
        <v>5</v>
      </c>
      <c r="AQ26" s="13" t="s">
        <v>4</v>
      </c>
      <c r="AR26" s="14"/>
      <c r="AS26" s="10"/>
      <c r="AT26" s="12" t="s">
        <v>5</v>
      </c>
      <c r="AU26" s="13" t="s">
        <v>4</v>
      </c>
      <c r="AV26" s="14"/>
      <c r="AW26" s="10"/>
      <c r="AX26" s="12" t="s">
        <v>5</v>
      </c>
      <c r="AY26" s="13" t="s">
        <v>4</v>
      </c>
      <c r="AZ26" s="14"/>
      <c r="BA26" s="51"/>
    </row>
    <row r="27" spans="1:53" ht="15" customHeight="1">
      <c r="A27" s="11"/>
      <c r="B27" s="12" t="s">
        <v>11</v>
      </c>
      <c r="C27" s="15" t="s">
        <v>13</v>
      </c>
      <c r="D27" s="43">
        <v>0</v>
      </c>
      <c r="E27" s="9"/>
      <c r="F27" s="12" t="s">
        <v>11</v>
      </c>
      <c r="G27" s="15" t="s">
        <v>13</v>
      </c>
      <c r="H27" s="14">
        <v>0</v>
      </c>
      <c r="I27" s="10"/>
      <c r="J27" s="12" t="s">
        <v>11</v>
      </c>
      <c r="K27" s="15" t="s">
        <v>13</v>
      </c>
      <c r="L27" s="14">
        <v>0</v>
      </c>
      <c r="M27" s="10"/>
      <c r="N27" s="12" t="s">
        <v>11</v>
      </c>
      <c r="O27" s="15" t="s">
        <v>13</v>
      </c>
      <c r="P27" s="14">
        <v>0</v>
      </c>
      <c r="Q27" s="10"/>
      <c r="R27" s="12" t="s">
        <v>11</v>
      </c>
      <c r="S27" s="15" t="s">
        <v>13</v>
      </c>
      <c r="T27" s="14">
        <v>0</v>
      </c>
      <c r="U27" s="10"/>
      <c r="V27" s="12" t="s">
        <v>11</v>
      </c>
      <c r="W27" s="15" t="s">
        <v>13</v>
      </c>
      <c r="X27" s="14">
        <v>0</v>
      </c>
      <c r="Y27" s="10"/>
      <c r="Z27" s="12" t="s">
        <v>11</v>
      </c>
      <c r="AA27" s="44" t="s">
        <v>131</v>
      </c>
      <c r="AB27" s="43">
        <v>1999</v>
      </c>
      <c r="AC27" s="10"/>
      <c r="AD27" s="12" t="s">
        <v>11</v>
      </c>
      <c r="AE27" s="15" t="s">
        <v>13</v>
      </c>
      <c r="AF27" s="14">
        <v>0</v>
      </c>
      <c r="AG27" s="10"/>
      <c r="AH27" s="12" t="s">
        <v>11</v>
      </c>
      <c r="AI27" s="54" t="s">
        <v>131</v>
      </c>
      <c r="AJ27" s="55">
        <v>2000</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s="51"/>
    </row>
    <row r="28" spans="1:53" ht="15" customHeight="1">
      <c r="A28" s="11"/>
      <c r="B28" s="12" t="s">
        <v>12</v>
      </c>
      <c r="C28" s="15" t="s">
        <v>13</v>
      </c>
      <c r="D28" s="14">
        <v>0</v>
      </c>
      <c r="E28" s="9"/>
      <c r="F28" s="12" t="s">
        <v>12</v>
      </c>
      <c r="G28" s="15" t="s">
        <v>13</v>
      </c>
      <c r="H28" s="16">
        <v>0</v>
      </c>
      <c r="I28" s="10"/>
      <c r="J28" s="12" t="s">
        <v>12</v>
      </c>
      <c r="K28" s="15" t="s">
        <v>13</v>
      </c>
      <c r="L28" s="14">
        <v>0</v>
      </c>
      <c r="M28" s="10"/>
      <c r="N28" s="12" t="s">
        <v>12</v>
      </c>
      <c r="O28" s="15" t="s">
        <v>13</v>
      </c>
      <c r="P28" s="16">
        <v>0</v>
      </c>
      <c r="Q28" s="10"/>
      <c r="R28" s="12" t="s">
        <v>12</v>
      </c>
      <c r="S28" s="15" t="s">
        <v>13</v>
      </c>
      <c r="T28" s="16">
        <v>0</v>
      </c>
      <c r="U28" s="10"/>
      <c r="V28" s="12" t="s">
        <v>12</v>
      </c>
      <c r="W28" s="15" t="s">
        <v>13</v>
      </c>
      <c r="X28" s="16">
        <v>0</v>
      </c>
      <c r="Y28" s="10"/>
      <c r="Z28" s="12" t="s">
        <v>12</v>
      </c>
      <c r="AA28" s="15" t="s">
        <v>13</v>
      </c>
      <c r="AB28" s="14">
        <v>0</v>
      </c>
      <c r="AC28" s="10"/>
      <c r="AD28" s="12" t="s">
        <v>12</v>
      </c>
      <c r="AE28" s="15" t="s">
        <v>13</v>
      </c>
      <c r="AF28" s="16">
        <v>0</v>
      </c>
      <c r="AG28" s="10"/>
      <c r="AH28" s="12" t="s">
        <v>12</v>
      </c>
      <c r="AI28" s="44" t="s">
        <v>268</v>
      </c>
      <c r="AJ28" s="43">
        <v>5000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s="51"/>
    </row>
    <row r="29" spans="1:53" ht="15" customHeight="1">
      <c r="A29" s="11"/>
      <c r="B29" s="12" t="s">
        <v>14</v>
      </c>
      <c r="C29" s="15" t="s">
        <v>13</v>
      </c>
      <c r="D29" s="14">
        <v>0</v>
      </c>
      <c r="E29" s="9"/>
      <c r="F29" s="12" t="s">
        <v>14</v>
      </c>
      <c r="G29" s="15" t="s">
        <v>13</v>
      </c>
      <c r="H29" s="14">
        <v>0</v>
      </c>
      <c r="I29" s="10"/>
      <c r="J29" s="12" t="s">
        <v>14</v>
      </c>
      <c r="K29" s="15" t="s">
        <v>13</v>
      </c>
      <c r="L29" s="14">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15" t="s">
        <v>13</v>
      </c>
      <c r="AJ29" s="14">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s="51"/>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s="51"/>
    </row>
    <row r="31" spans="1:53" ht="15" customHeight="1">
      <c r="A31" s="11"/>
      <c r="B31" s="12" t="s">
        <v>7</v>
      </c>
      <c r="C31" s="13">
        <v>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44">
        <v>49000</v>
      </c>
      <c r="AB31" s="43"/>
      <c r="AC31" s="10"/>
      <c r="AD31" s="12" t="s">
        <v>7</v>
      </c>
      <c r="AE31" s="13">
        <v>0</v>
      </c>
      <c r="AF31" s="14"/>
      <c r="AG31" s="10"/>
      <c r="AH31" s="12" t="s">
        <v>7</v>
      </c>
      <c r="AI31" s="44">
        <v>69000</v>
      </c>
      <c r="AJ31" s="14"/>
      <c r="AK31" s="10"/>
      <c r="AL31" s="12" t="s">
        <v>7</v>
      </c>
      <c r="AM31" s="13">
        <v>0</v>
      </c>
      <c r="AN31" s="14"/>
      <c r="AO31" s="10"/>
      <c r="AP31" s="12" t="s">
        <v>7</v>
      </c>
      <c r="AQ31" s="13">
        <v>0</v>
      </c>
      <c r="AR31" s="14"/>
      <c r="AS31" s="10"/>
      <c r="AT31" s="12" t="s">
        <v>7</v>
      </c>
      <c r="AU31" s="13">
        <v>0</v>
      </c>
      <c r="AV31" s="14"/>
      <c r="AW31" s="10"/>
      <c r="AX31" s="12" t="s">
        <v>7</v>
      </c>
      <c r="AY31" s="13">
        <v>0</v>
      </c>
      <c r="AZ31" s="14"/>
      <c r="BA31" s="5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44">
        <v>0</v>
      </c>
      <c r="AB32" s="43"/>
      <c r="AC32" s="10"/>
      <c r="AD32" s="12" t="s">
        <v>6</v>
      </c>
      <c r="AE32" s="15">
        <v>0</v>
      </c>
      <c r="AF32" s="14"/>
      <c r="AG32" s="10"/>
      <c r="AH32" s="12" t="s">
        <v>6</v>
      </c>
      <c r="AI32" s="15">
        <v>0</v>
      </c>
      <c r="AJ32" s="14"/>
      <c r="AK32" s="10"/>
      <c r="AL32" s="12" t="s">
        <v>6</v>
      </c>
      <c r="AM32" s="15">
        <v>0</v>
      </c>
      <c r="AN32" s="14"/>
      <c r="AO32" s="10"/>
      <c r="AP32" s="12" t="s">
        <v>6</v>
      </c>
      <c r="AQ32" s="15">
        <v>0</v>
      </c>
      <c r="AR32" s="14"/>
      <c r="AS32" s="10"/>
      <c r="AT32" s="12" t="s">
        <v>6</v>
      </c>
      <c r="AU32" s="15">
        <v>0</v>
      </c>
      <c r="AV32" s="14"/>
      <c r="AW32" s="10"/>
      <c r="AX32" s="12" t="s">
        <v>6</v>
      </c>
      <c r="AY32" s="15">
        <v>0</v>
      </c>
      <c r="AZ32" s="14"/>
      <c r="BA32" s="51"/>
    </row>
    <row r="33" spans="1:53" ht="15" customHeight="1">
      <c r="A33" s="11"/>
      <c r="B33" s="12" t="s">
        <v>5</v>
      </c>
      <c r="C33" s="13" t="s">
        <v>4</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44" t="s">
        <v>112</v>
      </c>
      <c r="AB33" s="43"/>
      <c r="AC33" s="10"/>
      <c r="AD33" s="12" t="s">
        <v>5</v>
      </c>
      <c r="AE33" s="13" t="s">
        <v>4</v>
      </c>
      <c r="AF33" s="14"/>
      <c r="AG33" s="10"/>
      <c r="AH33" s="12" t="s">
        <v>5</v>
      </c>
      <c r="AI33" s="54" t="s">
        <v>266</v>
      </c>
      <c r="AJ33" s="14"/>
      <c r="AK33" s="10"/>
      <c r="AL33" s="12" t="s">
        <v>5</v>
      </c>
      <c r="AM33" s="13" t="s">
        <v>4</v>
      </c>
      <c r="AN33" s="14"/>
      <c r="AO33" s="10"/>
      <c r="AP33" s="12" t="s">
        <v>5</v>
      </c>
      <c r="AQ33" s="13" t="s">
        <v>4</v>
      </c>
      <c r="AR33" s="14"/>
      <c r="AS33" s="10"/>
      <c r="AT33" s="12" t="s">
        <v>5</v>
      </c>
      <c r="AU33" s="13" t="s">
        <v>4</v>
      </c>
      <c r="AV33" s="14"/>
      <c r="AW33" s="10"/>
      <c r="AX33" s="12" t="s">
        <v>5</v>
      </c>
      <c r="AY33" s="13" t="s">
        <v>4</v>
      </c>
      <c r="AZ33" s="14"/>
      <c r="BA33" s="51"/>
    </row>
    <row r="34" spans="1:53" ht="15" customHeight="1">
      <c r="A34" s="11"/>
      <c r="B34" s="12" t="s">
        <v>11</v>
      </c>
      <c r="C34" s="15" t="s">
        <v>13</v>
      </c>
      <c r="D34" s="43">
        <v>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44" t="s">
        <v>131</v>
      </c>
      <c r="AB34" s="43">
        <v>1999</v>
      </c>
      <c r="AC34" s="10"/>
      <c r="AD34" s="12" t="s">
        <v>11</v>
      </c>
      <c r="AE34" s="15" t="s">
        <v>13</v>
      </c>
      <c r="AF34" s="14">
        <v>0</v>
      </c>
      <c r="AG34" s="10"/>
      <c r="AH34" s="12" t="s">
        <v>11</v>
      </c>
      <c r="AI34" s="54" t="s">
        <v>131</v>
      </c>
      <c r="AJ34" s="43">
        <v>2000</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s="51"/>
    </row>
    <row r="35" spans="1:53" ht="15" customHeight="1">
      <c r="A35" s="11"/>
      <c r="B35" s="12" t="s">
        <v>12</v>
      </c>
      <c r="C35" s="15" t="s">
        <v>13</v>
      </c>
      <c r="D35" s="43">
        <v>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4">
        <v>0</v>
      </c>
      <c r="AC35" s="10"/>
      <c r="AD35" s="12" t="s">
        <v>12</v>
      </c>
      <c r="AE35" s="15" t="s">
        <v>13</v>
      </c>
      <c r="AF35" s="16">
        <v>0</v>
      </c>
      <c r="AG35" s="10"/>
      <c r="AH35" s="12" t="s">
        <v>12</v>
      </c>
      <c r="AI35" s="15" t="s">
        <v>13</v>
      </c>
      <c r="AJ35" s="16">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s="51"/>
    </row>
    <row r="36" spans="1:53" ht="15" customHeight="1">
      <c r="A36" s="11"/>
      <c r="B36" s="12" t="s">
        <v>14</v>
      </c>
      <c r="C36" s="15" t="s">
        <v>13</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s="51"/>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s="51"/>
    </row>
    <row r="38" spans="1:53" ht="15" customHeight="1">
      <c r="A38" s="11"/>
      <c r="B38" s="12" t="s">
        <v>7</v>
      </c>
      <c r="C38" s="44">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44">
        <v>48000</v>
      </c>
      <c r="AB38" s="43"/>
      <c r="AC38" s="10"/>
      <c r="AD38" s="12" t="s">
        <v>7</v>
      </c>
      <c r="AE38" s="13">
        <v>0</v>
      </c>
      <c r="AF38" s="14"/>
      <c r="AG38" s="10"/>
      <c r="AH38" s="12" t="s">
        <v>7</v>
      </c>
      <c r="AI38" s="44">
        <v>67000</v>
      </c>
      <c r="AJ38" s="14"/>
      <c r="AK38" s="10"/>
      <c r="AL38" s="12" t="s">
        <v>7</v>
      </c>
      <c r="AM38" s="13">
        <v>0</v>
      </c>
      <c r="AN38" s="14"/>
      <c r="AO38" s="10"/>
      <c r="AP38" s="12" t="s">
        <v>7</v>
      </c>
      <c r="AQ38" s="13">
        <v>0</v>
      </c>
      <c r="AR38" s="14"/>
      <c r="AS38" s="10"/>
      <c r="AT38" s="12" t="s">
        <v>7</v>
      </c>
      <c r="AU38" s="13">
        <v>0</v>
      </c>
      <c r="AV38" s="14"/>
      <c r="AW38" s="10"/>
      <c r="AX38" s="12" t="s">
        <v>7</v>
      </c>
      <c r="AY38" s="13">
        <v>0</v>
      </c>
      <c r="AZ38" s="14"/>
      <c r="BA38" s="51"/>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44">
        <v>0</v>
      </c>
      <c r="AB39" s="43"/>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s="51"/>
    </row>
    <row r="40" spans="1:53"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44" t="s">
        <v>33</v>
      </c>
      <c r="AB40" s="43"/>
      <c r="AC40" s="10"/>
      <c r="AD40" s="12" t="s">
        <v>5</v>
      </c>
      <c r="AE40" s="13" t="s">
        <v>4</v>
      </c>
      <c r="AF40" s="14"/>
      <c r="AG40" s="10"/>
      <c r="AH40" s="12" t="s">
        <v>5</v>
      </c>
      <c r="AI40" s="54" t="s">
        <v>267</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s="51"/>
    </row>
    <row r="41" spans="1:53" ht="15" customHeight="1">
      <c r="A41" s="11"/>
      <c r="B41" s="12" t="s">
        <v>11</v>
      </c>
      <c r="C41" s="15" t="s">
        <v>13</v>
      </c>
      <c r="D41" s="43">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44" t="s">
        <v>131</v>
      </c>
      <c r="AB41" s="43">
        <v>1999</v>
      </c>
      <c r="AC41" s="10"/>
      <c r="AD41" s="12" t="s">
        <v>11</v>
      </c>
      <c r="AE41" s="15" t="s">
        <v>13</v>
      </c>
      <c r="AF41" s="14">
        <v>0</v>
      </c>
      <c r="AG41" s="10"/>
      <c r="AH41" s="12" t="s">
        <v>11</v>
      </c>
      <c r="AI41" s="54" t="s">
        <v>131</v>
      </c>
      <c r="AJ41" s="55">
        <v>2000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s="51"/>
    </row>
    <row r="42" spans="1:53" ht="15" customHeight="1">
      <c r="A42" s="11"/>
      <c r="B42" s="12" t="s">
        <v>12</v>
      </c>
      <c r="C42" s="15" t="s">
        <v>13</v>
      </c>
      <c r="D42" s="43">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4">
        <v>0</v>
      </c>
      <c r="AC42" s="10"/>
      <c r="AD42" s="12" t="s">
        <v>12</v>
      </c>
      <c r="AE42" s="15" t="s">
        <v>13</v>
      </c>
      <c r="AF42" s="16">
        <v>0</v>
      </c>
      <c r="AG42" s="10"/>
      <c r="AH42" s="12" t="s">
        <v>12</v>
      </c>
      <c r="AI42" s="15" t="s">
        <v>13</v>
      </c>
      <c r="AJ42" s="16">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s="51"/>
    </row>
    <row r="43" spans="1:53" ht="15" customHeight="1">
      <c r="A43" s="11"/>
      <c r="B43" s="12" t="s">
        <v>14</v>
      </c>
      <c r="C43" s="15" t="s">
        <v>13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s="51"/>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s="51"/>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44">
        <v>65000</v>
      </c>
      <c r="AJ45" s="14"/>
      <c r="AK45" s="10"/>
      <c r="AL45" s="12" t="s">
        <v>7</v>
      </c>
      <c r="AM45" s="13">
        <v>0</v>
      </c>
      <c r="AN45" s="14"/>
      <c r="AO45" s="10"/>
      <c r="AP45" s="12" t="s">
        <v>7</v>
      </c>
      <c r="AQ45" s="13">
        <v>0</v>
      </c>
      <c r="AR45" s="14"/>
      <c r="AS45" s="10"/>
      <c r="AT45" s="12" t="s">
        <v>7</v>
      </c>
      <c r="AU45" s="13">
        <v>0</v>
      </c>
      <c r="AV45" s="14"/>
      <c r="AW45" s="10"/>
      <c r="AX45" s="12" t="s">
        <v>7</v>
      </c>
      <c r="AY45" s="13">
        <v>0</v>
      </c>
      <c r="AZ45" s="14"/>
      <c r="BA45" s="51"/>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s="51"/>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54" t="s">
        <v>269</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s="51"/>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54" t="s">
        <v>131</v>
      </c>
      <c r="AJ48" s="43">
        <v>2000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s="51"/>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6">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s="51"/>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s="51"/>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s="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13">
        <v>0</v>
      </c>
      <c r="AJ52" s="14"/>
      <c r="AK52" s="10"/>
      <c r="AL52" s="12" t="s">
        <v>7</v>
      </c>
      <c r="AM52" s="13">
        <v>0</v>
      </c>
      <c r="AN52" s="14"/>
      <c r="AO52" s="10"/>
      <c r="AP52" s="12" t="s">
        <v>7</v>
      </c>
      <c r="AQ52" s="13">
        <v>0</v>
      </c>
      <c r="AR52" s="14"/>
      <c r="AS52" s="10"/>
      <c r="AT52" s="12" t="s">
        <v>7</v>
      </c>
      <c r="AU52" s="13">
        <v>0</v>
      </c>
      <c r="AV52" s="14"/>
      <c r="AW52" s="10"/>
      <c r="AX52" s="12" t="s">
        <v>7</v>
      </c>
      <c r="AY52" s="13">
        <v>0</v>
      </c>
      <c r="AZ52" s="14"/>
      <c r="BA52" s="51"/>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s="51"/>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13" t="s">
        <v>4</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s="51"/>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15" t="s">
        <v>13</v>
      </c>
      <c r="AJ55" s="14">
        <v>0</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s="51"/>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s="51"/>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s="51"/>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s="51"/>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s="51"/>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s="51"/>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s="5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s="51"/>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s="51"/>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s="51"/>
    </row>
    <row r="65" spans="1:53"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s="51"/>
    </row>
    <row r="66" spans="1:53"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s="51"/>
    </row>
    <row r="67" spans="1:53"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s="51"/>
    </row>
    <row r="68" spans="1:53"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s="51"/>
    </row>
    <row r="69" spans="1:53"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s="51"/>
    </row>
    <row r="70" spans="1:53"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s="51"/>
    </row>
    <row r="71" spans="1:53"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s="51"/>
    </row>
    <row r="72" spans="1:53"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s="51"/>
    </row>
    <row r="73" spans="1:53" ht="15" customHeight="1">
      <c r="A73" s="11"/>
      <c r="B73" s="22" t="s">
        <v>8</v>
      </c>
      <c r="C73" s="23">
        <v>200</v>
      </c>
      <c r="D73" s="24"/>
      <c r="E73" s="25"/>
      <c r="F73" s="22" t="s">
        <v>8</v>
      </c>
      <c r="G73" s="23">
        <v>1000</v>
      </c>
      <c r="H73" s="24"/>
      <c r="I73" s="25"/>
      <c r="J73" s="22" t="s">
        <v>8</v>
      </c>
      <c r="K73" s="23">
        <v>1000</v>
      </c>
      <c r="L73" s="24"/>
      <c r="M73" s="25"/>
      <c r="N73" s="22" t="s">
        <v>8</v>
      </c>
      <c r="O73" s="23">
        <v>2000</v>
      </c>
      <c r="P73" s="24"/>
      <c r="Q73" s="25"/>
      <c r="R73" s="22" t="s">
        <v>8</v>
      </c>
      <c r="S73" s="23">
        <v>0</v>
      </c>
      <c r="T73" s="24"/>
      <c r="U73" s="25"/>
      <c r="V73" s="22" t="s">
        <v>8</v>
      </c>
      <c r="W73" s="23">
        <v>5000</v>
      </c>
      <c r="X73" s="24"/>
      <c r="Y73" s="25"/>
      <c r="Z73" s="22" t="s">
        <v>8</v>
      </c>
      <c r="AA73" s="23">
        <v>1000</v>
      </c>
      <c r="AB73" s="24"/>
      <c r="AC73" s="25"/>
      <c r="AD73" s="22" t="s">
        <v>8</v>
      </c>
      <c r="AE73" s="23">
        <v>1000</v>
      </c>
      <c r="AF73" s="24"/>
      <c r="AG73" s="25"/>
      <c r="AH73" s="22" t="s">
        <v>8</v>
      </c>
      <c r="AI73" s="23">
        <v>1000</v>
      </c>
      <c r="AJ73" s="24"/>
      <c r="AK73" s="25"/>
      <c r="AL73" s="22" t="s">
        <v>8</v>
      </c>
      <c r="AM73" s="23">
        <v>0</v>
      </c>
      <c r="AN73" s="24"/>
      <c r="AO73" s="25"/>
      <c r="AP73" s="22" t="s">
        <v>8</v>
      </c>
      <c r="AQ73" s="23">
        <v>0</v>
      </c>
      <c r="AR73" s="24"/>
      <c r="AS73" s="25"/>
      <c r="AT73" s="22" t="s">
        <v>8</v>
      </c>
      <c r="AU73" s="23">
        <v>0</v>
      </c>
      <c r="AV73" s="24"/>
      <c r="AW73" s="25"/>
      <c r="AX73" s="22" t="s">
        <v>8</v>
      </c>
      <c r="AY73" s="23">
        <v>0</v>
      </c>
      <c r="AZ73" s="24"/>
      <c r="BA73" s="51"/>
    </row>
    <row r="74" spans="1:53"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1</v>
      </c>
      <c r="X74" s="28"/>
      <c r="Y74" s="25"/>
      <c r="Z74" s="26" t="s">
        <v>10</v>
      </c>
      <c r="AA74" s="45">
        <v>1</v>
      </c>
      <c r="AB74" s="28"/>
      <c r="AC74" s="25"/>
      <c r="AD74" s="26" t="s">
        <v>10</v>
      </c>
      <c r="AE74" s="27">
        <v>1</v>
      </c>
      <c r="AF74" s="28"/>
      <c r="AG74" s="25"/>
      <c r="AH74" s="26" t="s">
        <v>10</v>
      </c>
      <c r="AI74" s="45">
        <v>1</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s="51"/>
    </row>
    <row r="75" spans="1:53" s="32" customFormat="1" ht="15.7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22</v>
      </c>
      <c r="AN75" s="28"/>
      <c r="AO75" s="31"/>
      <c r="AP75" s="26" t="s">
        <v>18</v>
      </c>
      <c r="AQ75" s="27" t="s">
        <v>22</v>
      </c>
      <c r="AR75" s="28"/>
      <c r="AS75" s="31"/>
      <c r="AT75" s="26" t="s">
        <v>18</v>
      </c>
      <c r="AU75" s="27" t="s">
        <v>22</v>
      </c>
      <c r="AV75" s="28"/>
      <c r="AW75" s="31"/>
      <c r="AX75" s="26" t="s">
        <v>18</v>
      </c>
      <c r="AY75" s="27" t="s">
        <v>22</v>
      </c>
      <c r="AZ75" s="28"/>
      <c r="BA75" s="51"/>
    </row>
    <row r="76" spans="1:53" s="7" customFormat="1" ht="15.75">
      <c r="A76" s="51"/>
      <c r="B76" s="51"/>
      <c r="C76" s="51"/>
      <c r="D76" s="51"/>
      <c r="E76" s="51"/>
      <c r="F76" s="51"/>
      <c r="G76" s="51"/>
      <c r="H76" s="51"/>
      <c r="I76" s="5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row>
    <row r="77" spans="1:53" s="7" customFormat="1" ht="15.75">
      <c r="A77" s="51"/>
      <c r="B77" s="35" t="s">
        <v>119</v>
      </c>
      <c r="C77" s="36" t="s">
        <v>68</v>
      </c>
      <c r="D77" s="4" t="s">
        <v>36</v>
      </c>
      <c r="E77" s="51"/>
      <c r="F77" s="35" t="s">
        <v>119</v>
      </c>
      <c r="G77" s="36" t="s">
        <v>132</v>
      </c>
      <c r="H77" s="4" t="s">
        <v>36</v>
      </c>
      <c r="I77" s="51"/>
      <c r="J77" s="35" t="s">
        <v>5</v>
      </c>
      <c r="K77" s="47" t="s">
        <v>33</v>
      </c>
      <c r="L77" s="48" t="s">
        <v>36</v>
      </c>
      <c r="M77" s="51"/>
      <c r="N77" s="35" t="s">
        <v>5</v>
      </c>
      <c r="O77" s="36" t="s">
        <v>19</v>
      </c>
      <c r="P77" s="4" t="s">
        <v>37</v>
      </c>
      <c r="Q77" s="51"/>
      <c r="R77" s="35" t="s">
        <v>5</v>
      </c>
      <c r="S77" s="36" t="s">
        <v>51</v>
      </c>
      <c r="T77" s="4" t="s">
        <v>36</v>
      </c>
      <c r="U77" s="51"/>
      <c r="V77" s="35" t="s">
        <v>5</v>
      </c>
      <c r="W77" s="36" t="s">
        <v>52</v>
      </c>
      <c r="X77" s="48" t="s">
        <v>37</v>
      </c>
      <c r="Y77" s="51"/>
      <c r="Z77" s="35" t="s">
        <v>5</v>
      </c>
      <c r="AA77" s="36" t="s">
        <v>53</v>
      </c>
      <c r="AB77" s="48" t="s">
        <v>37</v>
      </c>
      <c r="AC77" s="51"/>
      <c r="AD77" s="35" t="s">
        <v>5</v>
      </c>
      <c r="AE77" s="36" t="s">
        <v>143</v>
      </c>
      <c r="AF77" s="4" t="s">
        <v>37</v>
      </c>
      <c r="AG77" s="51"/>
      <c r="AH77" s="35" t="s">
        <v>5</v>
      </c>
      <c r="AI77" s="36" t="s">
        <v>144</v>
      </c>
      <c r="AJ77" s="4" t="s">
        <v>36</v>
      </c>
      <c r="AK77" s="51"/>
      <c r="AL77" s="35" t="s">
        <v>5</v>
      </c>
      <c r="AM77" s="36" t="s">
        <v>145</v>
      </c>
      <c r="AN77" s="4" t="s">
        <v>37</v>
      </c>
      <c r="AO77" s="51"/>
      <c r="AP77" s="35" t="s">
        <v>5</v>
      </c>
      <c r="AQ77" s="36" t="s">
        <v>145</v>
      </c>
      <c r="AR77" s="4" t="s">
        <v>37</v>
      </c>
      <c r="AS77" s="51"/>
      <c r="AT77" s="35" t="s">
        <v>5</v>
      </c>
      <c r="AU77" s="36" t="s">
        <v>145</v>
      </c>
      <c r="AV77" s="4" t="s">
        <v>37</v>
      </c>
      <c r="AW77" s="51"/>
      <c r="AX77" s="35" t="s">
        <v>5</v>
      </c>
      <c r="AY77" s="47" t="s">
        <v>193</v>
      </c>
      <c r="AZ77" s="48" t="s">
        <v>36</v>
      </c>
      <c r="BA77" s="51"/>
    </row>
    <row r="78" spans="1:53" s="7" customFormat="1" ht="15.75">
      <c r="A78" s="51"/>
      <c r="B78" s="35" t="s">
        <v>38</v>
      </c>
      <c r="C78" s="36" t="s">
        <v>126</v>
      </c>
      <c r="D78" s="38" t="s">
        <v>120</v>
      </c>
      <c r="E78" s="51"/>
      <c r="F78" s="35" t="s">
        <v>38</v>
      </c>
      <c r="G78" s="36" t="s">
        <v>126</v>
      </c>
      <c r="H78" s="38" t="s">
        <v>120</v>
      </c>
      <c r="I78" s="51"/>
      <c r="J78" s="35" t="s">
        <v>38</v>
      </c>
      <c r="K78" s="47" t="s">
        <v>42</v>
      </c>
      <c r="L78" s="47">
        <v>0</v>
      </c>
      <c r="M78" s="51"/>
      <c r="N78" s="35" t="s">
        <v>38</v>
      </c>
      <c r="O78" s="36" t="s">
        <v>43</v>
      </c>
      <c r="P78" s="38">
        <v>15</v>
      </c>
      <c r="Q78" s="51"/>
      <c r="R78" s="35" t="s">
        <v>38</v>
      </c>
      <c r="S78" s="36" t="s">
        <v>62</v>
      </c>
      <c r="T78" s="38" t="s">
        <v>63</v>
      </c>
      <c r="U78" s="51"/>
      <c r="V78" s="35" t="s">
        <v>38</v>
      </c>
      <c r="W78" s="36" t="s">
        <v>62</v>
      </c>
      <c r="X78" s="38" t="s">
        <v>64</v>
      </c>
      <c r="Y78" s="51"/>
      <c r="Z78" s="35" t="s">
        <v>38</v>
      </c>
      <c r="AA78" s="36" t="s">
        <v>62</v>
      </c>
      <c r="AB78" s="38" t="s">
        <v>65</v>
      </c>
      <c r="AC78" s="51"/>
      <c r="AD78" s="35" t="s">
        <v>38</v>
      </c>
      <c r="AE78" s="36" t="s">
        <v>43</v>
      </c>
      <c r="AF78" s="38" t="s">
        <v>146</v>
      </c>
      <c r="AG78" s="51"/>
      <c r="AH78" s="35" t="s">
        <v>38</v>
      </c>
      <c r="AI78" s="36" t="s">
        <v>42</v>
      </c>
      <c r="AJ78" s="36">
        <v>0</v>
      </c>
      <c r="AK78" s="51"/>
      <c r="AL78" s="35" t="s">
        <v>38</v>
      </c>
      <c r="AM78" s="36" t="s">
        <v>147</v>
      </c>
      <c r="AN78" s="36">
        <v>1</v>
      </c>
      <c r="AO78" s="51"/>
      <c r="AP78" s="35" t="s">
        <v>38</v>
      </c>
      <c r="AQ78" s="36" t="s">
        <v>147</v>
      </c>
      <c r="AR78" s="36">
        <v>2</v>
      </c>
      <c r="AS78" s="51"/>
      <c r="AT78" s="35" t="s">
        <v>38</v>
      </c>
      <c r="AU78" s="36" t="s">
        <v>147</v>
      </c>
      <c r="AV78" s="36">
        <v>3</v>
      </c>
      <c r="AW78" s="51"/>
      <c r="AX78" s="35" t="s">
        <v>38</v>
      </c>
      <c r="AY78" s="47" t="s">
        <v>194</v>
      </c>
      <c r="AZ78" s="49" t="s">
        <v>65</v>
      </c>
      <c r="BA78" s="51"/>
    </row>
    <row r="79" spans="1:53" s="7" customFormat="1" ht="15.75">
      <c r="A79" s="51"/>
      <c r="B79" s="35" t="s">
        <v>38</v>
      </c>
      <c r="C79" s="36" t="s">
        <v>125</v>
      </c>
      <c r="D79" s="38" t="s">
        <v>134</v>
      </c>
      <c r="E79" s="51"/>
      <c r="F79" s="35" t="s">
        <v>38</v>
      </c>
      <c r="G79" s="36" t="s">
        <v>125</v>
      </c>
      <c r="H79" s="38" t="s">
        <v>134</v>
      </c>
      <c r="I79" s="51"/>
      <c r="J79" s="35" t="s">
        <v>38</v>
      </c>
      <c r="K79" s="47" t="s">
        <v>39</v>
      </c>
      <c r="L79" s="47">
        <v>2000</v>
      </c>
      <c r="M79" s="51"/>
      <c r="N79" s="35" t="s">
        <v>38</v>
      </c>
      <c r="O79" s="36" t="s">
        <v>44</v>
      </c>
      <c r="P79" s="38" t="s">
        <v>45</v>
      </c>
      <c r="Q79" s="51"/>
      <c r="R79" s="35" t="s">
        <v>38</v>
      </c>
      <c r="S79" s="36" t="s">
        <v>54</v>
      </c>
      <c r="T79" s="49" t="s">
        <v>235</v>
      </c>
      <c r="U79" s="51"/>
      <c r="V79" s="35" t="s">
        <v>38</v>
      </c>
      <c r="W79" s="36" t="s">
        <v>54</v>
      </c>
      <c r="X79" s="38" t="s">
        <v>115</v>
      </c>
      <c r="Y79" s="51"/>
      <c r="Z79" s="35" t="s">
        <v>38</v>
      </c>
      <c r="AA79" s="36" t="s">
        <v>54</v>
      </c>
      <c r="AB79" s="38" t="s">
        <v>118</v>
      </c>
      <c r="AC79" s="51"/>
      <c r="AD79" s="35" t="s">
        <v>38</v>
      </c>
      <c r="AE79" s="36" t="s">
        <v>148</v>
      </c>
      <c r="AF79" s="38" t="s">
        <v>64</v>
      </c>
      <c r="AG79" s="51"/>
      <c r="AH79" s="35" t="s">
        <v>38</v>
      </c>
      <c r="AI79" s="36" t="s">
        <v>149</v>
      </c>
      <c r="AJ79" s="47">
        <v>400</v>
      </c>
      <c r="AK79" s="51"/>
      <c r="AL79" s="35" t="s">
        <v>38</v>
      </c>
      <c r="AM79" s="36" t="s">
        <v>150</v>
      </c>
      <c r="AN79" s="36">
        <v>1200</v>
      </c>
      <c r="AO79" s="51"/>
      <c r="AP79" s="35" t="s">
        <v>38</v>
      </c>
      <c r="AQ79" s="36" t="s">
        <v>150</v>
      </c>
      <c r="AR79" s="36">
        <v>600</v>
      </c>
      <c r="AS79" s="51"/>
      <c r="AT79" s="35" t="s">
        <v>38</v>
      </c>
      <c r="AU79" s="36" t="s">
        <v>150</v>
      </c>
      <c r="AV79" s="36">
        <v>300</v>
      </c>
      <c r="AW79" s="51"/>
      <c r="AX79" s="35" t="s">
        <v>38</v>
      </c>
      <c r="AY79" s="47" t="s">
        <v>195</v>
      </c>
      <c r="AZ79" s="49" t="s">
        <v>196</v>
      </c>
      <c r="BA79" s="51"/>
    </row>
    <row r="80" spans="1:53" s="7" customFormat="1" ht="15.75">
      <c r="A80" s="51"/>
      <c r="B80" s="35" t="s">
        <v>38</v>
      </c>
      <c r="C80" s="36" t="s">
        <v>126</v>
      </c>
      <c r="D80" s="38" t="s">
        <v>121</v>
      </c>
      <c r="E80" s="51"/>
      <c r="F80" s="35" t="s">
        <v>38</v>
      </c>
      <c r="G80" s="36" t="s">
        <v>126</v>
      </c>
      <c r="H80" s="38" t="s">
        <v>121</v>
      </c>
      <c r="I80" s="51"/>
      <c r="J80" s="35" t="s">
        <v>38</v>
      </c>
      <c r="K80" s="47" t="s">
        <v>40</v>
      </c>
      <c r="L80" s="47">
        <v>1000</v>
      </c>
      <c r="M80" s="51"/>
      <c r="N80" s="35" t="s">
        <v>38</v>
      </c>
      <c r="O80" s="36" t="s">
        <v>46</v>
      </c>
      <c r="P80" s="38" t="s">
        <v>47</v>
      </c>
      <c r="Q80" s="51"/>
      <c r="R80" s="35" t="s">
        <v>38</v>
      </c>
      <c r="S80" s="36" t="s">
        <v>67</v>
      </c>
      <c r="T80" s="38" t="s">
        <v>260</v>
      </c>
      <c r="U80" s="51"/>
      <c r="V80" s="35" t="s">
        <v>38</v>
      </c>
      <c r="W80" s="36" t="s">
        <v>67</v>
      </c>
      <c r="X80" s="38" t="s">
        <v>117</v>
      </c>
      <c r="Y80" s="51"/>
      <c r="Z80" s="35" t="s">
        <v>38</v>
      </c>
      <c r="AA80" s="36" t="s">
        <v>67</v>
      </c>
      <c r="AB80" s="38" t="s">
        <v>117</v>
      </c>
      <c r="AC80" s="51"/>
      <c r="AD80" s="35" t="s">
        <v>38</v>
      </c>
      <c r="AE80" s="36" t="s">
        <v>46</v>
      </c>
      <c r="AF80" s="38" t="s">
        <v>142</v>
      </c>
      <c r="AG80" s="51"/>
      <c r="AH80" s="35" t="s">
        <v>38</v>
      </c>
      <c r="AI80" s="36" t="s">
        <v>151</v>
      </c>
      <c r="AJ80" s="47">
        <v>100</v>
      </c>
      <c r="AK80" s="51"/>
      <c r="AL80" s="35" t="s">
        <v>38</v>
      </c>
      <c r="AM80" s="36" t="s">
        <v>152</v>
      </c>
      <c r="AN80" s="36">
        <v>300</v>
      </c>
      <c r="AO80" s="51"/>
      <c r="AP80" s="35" t="s">
        <v>38</v>
      </c>
      <c r="AQ80" s="36" t="s">
        <v>152</v>
      </c>
      <c r="AR80" s="36">
        <v>300</v>
      </c>
      <c r="AS80" s="51"/>
      <c r="AT80" s="35" t="s">
        <v>38</v>
      </c>
      <c r="AU80" s="36" t="s">
        <v>152</v>
      </c>
      <c r="AV80" s="36">
        <v>300</v>
      </c>
      <c r="AW80" s="51"/>
      <c r="AX80" s="35" t="s">
        <v>38</v>
      </c>
      <c r="AY80" s="47" t="s">
        <v>197</v>
      </c>
      <c r="AZ80" s="49" t="s">
        <v>245</v>
      </c>
      <c r="BA80" s="51"/>
    </row>
    <row r="81" spans="1:53" s="7" customFormat="1" ht="15.75">
      <c r="A81" s="51"/>
      <c r="B81" s="35" t="s">
        <v>38</v>
      </c>
      <c r="C81" s="36" t="s">
        <v>125</v>
      </c>
      <c r="D81" s="38" t="s">
        <v>122</v>
      </c>
      <c r="E81" s="51"/>
      <c r="F81" s="35" t="s">
        <v>38</v>
      </c>
      <c r="G81" s="36" t="s">
        <v>125</v>
      </c>
      <c r="H81" s="38" t="s">
        <v>122</v>
      </c>
      <c r="I81" s="51"/>
      <c r="J81" s="35" t="s">
        <v>38</v>
      </c>
      <c r="K81" s="47" t="s">
        <v>41</v>
      </c>
      <c r="L81" s="47">
        <v>500</v>
      </c>
      <c r="M81" s="51"/>
      <c r="N81" s="35" t="s">
        <v>38</v>
      </c>
      <c r="O81" s="36" t="s">
        <v>48</v>
      </c>
      <c r="P81" s="38" t="s">
        <v>49</v>
      </c>
      <c r="Q81" s="51"/>
      <c r="R81" s="35" t="s">
        <v>38</v>
      </c>
      <c r="S81" s="36" t="s">
        <v>66</v>
      </c>
      <c r="T81" s="38" t="s">
        <v>259</v>
      </c>
      <c r="U81" s="51"/>
      <c r="V81" s="35" t="s">
        <v>38</v>
      </c>
      <c r="W81" s="36" t="s">
        <v>66</v>
      </c>
      <c r="X81" s="38" t="s">
        <v>142</v>
      </c>
      <c r="Y81" s="51"/>
      <c r="Z81" s="35" t="s">
        <v>38</v>
      </c>
      <c r="AA81" s="36" t="s">
        <v>66</v>
      </c>
      <c r="AB81" s="38" t="s">
        <v>142</v>
      </c>
      <c r="AC81" s="51"/>
      <c r="AD81" s="35" t="s">
        <v>38</v>
      </c>
      <c r="AE81" s="36" t="s">
        <v>153</v>
      </c>
      <c r="AF81" s="38" t="s">
        <v>64</v>
      </c>
      <c r="AG81" s="51"/>
      <c r="AH81" s="35" t="s">
        <v>38</v>
      </c>
      <c r="AI81" s="36" t="s">
        <v>154</v>
      </c>
      <c r="AJ81" s="47">
        <v>100</v>
      </c>
      <c r="AK81" s="51"/>
      <c r="AL81" s="51"/>
      <c r="AM81" s="51"/>
      <c r="AN81" s="51"/>
      <c r="AO81" s="51"/>
      <c r="AP81" s="51"/>
      <c r="AQ81" s="51"/>
      <c r="AR81" s="51"/>
      <c r="AS81" s="51"/>
      <c r="AT81" s="51"/>
      <c r="AU81" s="51"/>
      <c r="AV81" s="51"/>
      <c r="AW81" s="51"/>
      <c r="AX81" s="35" t="s">
        <v>38</v>
      </c>
      <c r="AY81" s="47" t="s">
        <v>198</v>
      </c>
      <c r="AZ81" s="49" t="s">
        <v>247</v>
      </c>
      <c r="BA81" s="51"/>
    </row>
    <row r="82" spans="1:53" s="7" customFormat="1" ht="15.75">
      <c r="A82" s="51"/>
      <c r="B82" s="35" t="s">
        <v>38</v>
      </c>
      <c r="C82" s="36" t="s">
        <v>126</v>
      </c>
      <c r="D82" s="38" t="s">
        <v>123</v>
      </c>
      <c r="E82" s="51"/>
      <c r="F82" s="35" t="s">
        <v>38</v>
      </c>
      <c r="G82" s="36" t="s">
        <v>126</v>
      </c>
      <c r="H82" s="38" t="s">
        <v>123</v>
      </c>
      <c r="I82" s="51"/>
      <c r="J82" s="51"/>
      <c r="K82" s="51"/>
      <c r="L82" s="51"/>
      <c r="M82" s="51"/>
      <c r="N82" s="35" t="s">
        <v>38</v>
      </c>
      <c r="O82" s="36" t="s">
        <v>50</v>
      </c>
      <c r="P82" s="38" t="s">
        <v>47</v>
      </c>
      <c r="Q82" s="51"/>
      <c r="R82" s="35" t="s">
        <v>38</v>
      </c>
      <c r="S82" s="36" t="s">
        <v>57</v>
      </c>
      <c r="T82" s="38" t="s">
        <v>227</v>
      </c>
      <c r="U82" s="51"/>
      <c r="V82" s="35" t="s">
        <v>38</v>
      </c>
      <c r="W82" s="36" t="s">
        <v>57</v>
      </c>
      <c r="X82" s="38" t="s">
        <v>58</v>
      </c>
      <c r="Y82" s="51"/>
      <c r="Z82" s="35" t="s">
        <v>38</v>
      </c>
      <c r="AA82" s="36" t="s">
        <v>57</v>
      </c>
      <c r="AB82" s="38" t="s">
        <v>58</v>
      </c>
      <c r="AC82" s="51"/>
      <c r="AD82" s="35" t="s">
        <v>38</v>
      </c>
      <c r="AE82" s="36" t="s">
        <v>50</v>
      </c>
      <c r="AF82" s="38" t="s">
        <v>136</v>
      </c>
      <c r="AG82" s="51"/>
      <c r="AH82" s="35" t="s">
        <v>38</v>
      </c>
      <c r="AI82" s="36" t="s">
        <v>155</v>
      </c>
      <c r="AJ82" s="47">
        <v>200</v>
      </c>
      <c r="AK82" s="51"/>
      <c r="AL82" s="51"/>
      <c r="AM82" s="51"/>
      <c r="AN82" s="51"/>
      <c r="AO82" s="51"/>
      <c r="AP82" s="51"/>
      <c r="AQ82" s="51"/>
      <c r="AR82" s="51"/>
      <c r="AS82" s="51"/>
      <c r="AT82" s="51"/>
      <c r="AU82" s="51"/>
      <c r="AV82" s="51"/>
      <c r="AW82" s="51"/>
      <c r="AX82" s="35" t="s">
        <v>38</v>
      </c>
      <c r="AY82" s="47" t="s">
        <v>237</v>
      </c>
      <c r="AZ82" s="49" t="s">
        <v>244</v>
      </c>
      <c r="BA82" s="51"/>
    </row>
    <row r="83" spans="1:53" s="7" customFormat="1" ht="15.75">
      <c r="A83" s="51"/>
      <c r="B83" s="35" t="s">
        <v>38</v>
      </c>
      <c r="C83" s="36" t="s">
        <v>125</v>
      </c>
      <c r="D83" s="38" t="s">
        <v>135</v>
      </c>
      <c r="E83" s="51"/>
      <c r="F83" s="35" t="s">
        <v>38</v>
      </c>
      <c r="G83" s="36" t="s">
        <v>125</v>
      </c>
      <c r="H83" s="38" t="s">
        <v>135</v>
      </c>
      <c r="I83" s="51"/>
      <c r="J83" s="51"/>
      <c r="K83" s="51"/>
      <c r="L83" s="51"/>
      <c r="M83" s="51"/>
      <c r="N83" s="51"/>
      <c r="O83" s="51"/>
      <c r="P83" s="51"/>
      <c r="Q83" s="51"/>
      <c r="R83" s="35" t="s">
        <v>38</v>
      </c>
      <c r="S83" s="36" t="s">
        <v>55</v>
      </c>
      <c r="T83" s="49" t="s">
        <v>246</v>
      </c>
      <c r="U83" s="51"/>
      <c r="V83" s="35" t="s">
        <v>38</v>
      </c>
      <c r="W83" s="36" t="s">
        <v>55</v>
      </c>
      <c r="X83" s="38" t="s">
        <v>239</v>
      </c>
      <c r="Y83" s="51"/>
      <c r="Z83" s="35" t="s">
        <v>38</v>
      </c>
      <c r="AA83" s="36" t="s">
        <v>55</v>
      </c>
      <c r="AB83" s="38" t="s">
        <v>239</v>
      </c>
      <c r="AC83" s="51"/>
      <c r="AD83" s="35" t="s">
        <v>38</v>
      </c>
      <c r="AE83" s="36" t="s">
        <v>156</v>
      </c>
      <c r="AF83" s="38" t="s">
        <v>64</v>
      </c>
      <c r="AG83" s="51"/>
      <c r="AH83" s="35" t="s">
        <v>38</v>
      </c>
      <c r="AI83" s="36" t="s">
        <v>157</v>
      </c>
      <c r="AJ83" s="47">
        <v>100</v>
      </c>
      <c r="AK83" s="51"/>
      <c r="AL83" s="51"/>
      <c r="AM83" s="51"/>
      <c r="AN83" s="51"/>
      <c r="AO83" s="51"/>
      <c r="AP83" s="51"/>
      <c r="AQ83" s="51"/>
      <c r="AR83" s="51"/>
      <c r="AS83" s="51"/>
      <c r="AT83" s="51"/>
      <c r="AU83" s="51"/>
      <c r="AV83" s="51"/>
      <c r="AW83" s="51"/>
      <c r="AX83" s="35" t="s">
        <v>38</v>
      </c>
      <c r="AY83" s="47" t="s">
        <v>199</v>
      </c>
      <c r="AZ83" s="49" t="s">
        <v>240</v>
      </c>
      <c r="BA83" s="51"/>
    </row>
    <row r="84" spans="1:53" s="7" customFormat="1" ht="15.75">
      <c r="A84" s="51"/>
      <c r="B84" s="35" t="s">
        <v>38</v>
      </c>
      <c r="C84" s="36" t="s">
        <v>126</v>
      </c>
      <c r="D84" s="38" t="s">
        <v>124</v>
      </c>
      <c r="E84" s="51"/>
      <c r="F84" s="35" t="s">
        <v>38</v>
      </c>
      <c r="G84" s="36" t="s">
        <v>126</v>
      </c>
      <c r="H84" s="38" t="s">
        <v>124</v>
      </c>
      <c r="I84" s="51"/>
      <c r="J84" s="51"/>
      <c r="K84" s="51"/>
      <c r="L84" s="51"/>
      <c r="M84" s="51"/>
      <c r="N84" s="51"/>
      <c r="O84" s="51"/>
      <c r="P84" s="51"/>
      <c r="Q84" s="51"/>
      <c r="R84" s="35" t="s">
        <v>38</v>
      </c>
      <c r="S84" s="36" t="s">
        <v>56</v>
      </c>
      <c r="T84" s="49" t="s">
        <v>137</v>
      </c>
      <c r="U84" s="51"/>
      <c r="V84" s="35" t="s">
        <v>38</v>
      </c>
      <c r="W84" s="36" t="s">
        <v>56</v>
      </c>
      <c r="X84" s="38" t="s">
        <v>241</v>
      </c>
      <c r="Y84" s="51"/>
      <c r="Z84" s="35" t="s">
        <v>38</v>
      </c>
      <c r="AA84" s="36" t="s">
        <v>56</v>
      </c>
      <c r="AB84" s="38" t="s">
        <v>241</v>
      </c>
      <c r="AC84" s="51"/>
      <c r="AD84" s="35" t="s">
        <v>38</v>
      </c>
      <c r="AE84" s="36" t="s">
        <v>158</v>
      </c>
      <c r="AF84" s="38" t="s">
        <v>159</v>
      </c>
      <c r="AG84" s="51"/>
      <c r="AH84" s="35" t="s">
        <v>38</v>
      </c>
      <c r="AI84" s="36" t="s">
        <v>160</v>
      </c>
      <c r="AJ84" s="47">
        <v>800</v>
      </c>
      <c r="AK84" s="51"/>
      <c r="AL84" s="51"/>
      <c r="AM84" s="51"/>
      <c r="AN84" s="51"/>
      <c r="AO84" s="51"/>
      <c r="AP84" s="51"/>
      <c r="AQ84" s="51"/>
      <c r="AR84" s="51"/>
      <c r="AS84" s="51"/>
      <c r="AT84" s="51"/>
      <c r="AU84" s="51"/>
      <c r="AV84" s="51"/>
      <c r="AW84" s="51"/>
      <c r="AX84" s="35" t="s">
        <v>38</v>
      </c>
      <c r="AY84" s="47" t="s">
        <v>200</v>
      </c>
      <c r="AZ84" s="49" t="s">
        <v>264</v>
      </c>
      <c r="BA84" s="51"/>
    </row>
    <row r="85" spans="1:53" s="7" customFormat="1" ht="15.75">
      <c r="A85" s="51"/>
      <c r="B85" s="35" t="s">
        <v>38</v>
      </c>
      <c r="C85" s="36" t="s">
        <v>125</v>
      </c>
      <c r="D85" s="38" t="s">
        <v>136</v>
      </c>
      <c r="E85" s="51"/>
      <c r="F85" s="35" t="s">
        <v>38</v>
      </c>
      <c r="G85" s="36" t="s">
        <v>125</v>
      </c>
      <c r="H85" s="38" t="s">
        <v>136</v>
      </c>
      <c r="I85" s="51"/>
      <c r="J85" s="51"/>
      <c r="K85" s="51"/>
      <c r="L85" s="51"/>
      <c r="M85" s="51"/>
      <c r="N85" s="51"/>
      <c r="O85" s="51"/>
      <c r="P85" s="51"/>
      <c r="Q85" s="51"/>
      <c r="R85" s="35" t="s">
        <v>38</v>
      </c>
      <c r="S85" s="36" t="s">
        <v>59</v>
      </c>
      <c r="T85" s="49" t="s">
        <v>243</v>
      </c>
      <c r="U85" s="51"/>
      <c r="V85" s="35" t="s">
        <v>38</v>
      </c>
      <c r="W85" s="36" t="s">
        <v>59</v>
      </c>
      <c r="X85" s="38" t="s">
        <v>141</v>
      </c>
      <c r="Y85" s="51"/>
      <c r="Z85" s="35" t="s">
        <v>38</v>
      </c>
      <c r="AA85" s="36" t="s">
        <v>59</v>
      </c>
      <c r="AB85" s="38" t="s">
        <v>141</v>
      </c>
      <c r="AC85" s="51"/>
      <c r="AD85" s="51"/>
      <c r="AE85" s="51"/>
      <c r="AF85" s="51"/>
      <c r="AG85" s="51"/>
      <c r="AH85" s="35" t="s">
        <v>38</v>
      </c>
      <c r="AI85" s="36" t="s">
        <v>255</v>
      </c>
      <c r="AJ85" s="47">
        <v>100</v>
      </c>
      <c r="AK85" s="51"/>
      <c r="AL85" s="51"/>
      <c r="AM85" s="51"/>
      <c r="AN85" s="51"/>
      <c r="AO85" s="51"/>
      <c r="AP85" s="51"/>
      <c r="AQ85" s="51"/>
      <c r="AR85" s="51"/>
      <c r="AS85" s="51"/>
      <c r="AT85" s="51"/>
      <c r="AU85" s="51"/>
      <c r="AV85" s="51"/>
      <c r="AW85" s="51"/>
      <c r="AX85" s="35" t="s">
        <v>38</v>
      </c>
      <c r="AY85" s="47" t="s">
        <v>201</v>
      </c>
      <c r="AZ85" s="52">
        <f>ROUND(AZ80+AZ86*AZ82/1000, 0)</f>
        <v>212483</v>
      </c>
      <c r="BA85" s="51"/>
    </row>
    <row r="86" spans="1:53" s="7" customFormat="1" ht="15.75">
      <c r="A86" s="51"/>
      <c r="B86" s="41" t="s">
        <v>38</v>
      </c>
      <c r="C86" s="42" t="s">
        <v>127</v>
      </c>
      <c r="D86" s="38" t="s">
        <v>63</v>
      </c>
      <c r="E86" s="51"/>
      <c r="F86" s="41" t="s">
        <v>38</v>
      </c>
      <c r="G86" s="42" t="s">
        <v>127</v>
      </c>
      <c r="H86" s="38" t="s">
        <v>64</v>
      </c>
      <c r="I86" s="51"/>
      <c r="J86" s="51"/>
      <c r="K86" s="51"/>
      <c r="L86" s="51"/>
      <c r="M86" s="51"/>
      <c r="N86" s="51"/>
      <c r="O86" s="51"/>
      <c r="P86" s="51"/>
      <c r="Q86" s="51"/>
      <c r="R86" s="35" t="s">
        <v>38</v>
      </c>
      <c r="S86" s="36" t="s">
        <v>60</v>
      </c>
      <c r="T86" s="49" t="s">
        <v>241</v>
      </c>
      <c r="U86" s="51"/>
      <c r="V86" s="35" t="s">
        <v>38</v>
      </c>
      <c r="W86" s="36" t="s">
        <v>60</v>
      </c>
      <c r="X86" s="38" t="s">
        <v>138</v>
      </c>
      <c r="Y86" s="51"/>
      <c r="Z86" s="35" t="s">
        <v>38</v>
      </c>
      <c r="AA86" s="36" t="s">
        <v>60</v>
      </c>
      <c r="AB86" s="38" t="s">
        <v>138</v>
      </c>
      <c r="AC86" s="51"/>
      <c r="AD86" s="51"/>
      <c r="AE86" s="51"/>
      <c r="AF86" s="51"/>
      <c r="AG86" s="51"/>
      <c r="AH86" s="35" t="s">
        <v>38</v>
      </c>
      <c r="AI86" s="36" t="s">
        <v>256</v>
      </c>
      <c r="AJ86" s="47">
        <v>25500</v>
      </c>
      <c r="AK86" s="51"/>
      <c r="AL86" s="51"/>
      <c r="AM86" s="51"/>
      <c r="AN86" s="51"/>
      <c r="AO86" s="51"/>
      <c r="AP86" s="51"/>
      <c r="AQ86" s="51"/>
      <c r="AR86" s="51"/>
      <c r="AS86" s="51"/>
      <c r="AT86" s="51"/>
      <c r="AU86" s="51"/>
      <c r="AV86" s="51"/>
      <c r="AW86" s="51"/>
      <c r="AX86" s="41" t="s">
        <v>38</v>
      </c>
      <c r="AY86" s="53" t="s">
        <v>202</v>
      </c>
      <c r="AZ86" s="52">
        <f>ROUND((AZ79-AZ80)*1000/(AZ82-AZ81),0)</f>
        <v>2833</v>
      </c>
      <c r="BA86" s="51"/>
    </row>
    <row r="87" spans="1:53" s="7" customFormat="1" ht="15.75">
      <c r="A87" s="51"/>
      <c r="B87" s="51"/>
      <c r="C87" s="51"/>
      <c r="D87" s="51"/>
      <c r="E87" s="51"/>
      <c r="F87" s="51"/>
      <c r="G87" s="51"/>
      <c r="H87" s="51"/>
      <c r="I87" s="51"/>
      <c r="J87" s="51"/>
      <c r="K87" s="51"/>
      <c r="L87" s="51"/>
      <c r="M87" s="51"/>
      <c r="N87" s="51"/>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35" t="s">
        <v>38</v>
      </c>
      <c r="AY87" s="47" t="s">
        <v>203</v>
      </c>
      <c r="AZ87" s="52">
        <f>ROUND(AZ84+AZ88*AZ82/1000,0)</f>
        <v>172517</v>
      </c>
      <c r="BA87" s="51"/>
    </row>
    <row r="88" spans="1:53" s="7" customFormat="1" ht="15.75">
      <c r="A88" s="51"/>
      <c r="B88" s="51"/>
      <c r="C88" s="51"/>
      <c r="D88" s="51"/>
      <c r="E88" s="51"/>
      <c r="F88" s="51"/>
      <c r="G88" s="51"/>
      <c r="H88" s="51"/>
      <c r="I88" s="51"/>
      <c r="J88" s="51"/>
      <c r="K88" s="51"/>
      <c r="L88" s="51"/>
      <c r="M88" s="51"/>
      <c r="N88" s="51"/>
      <c r="O88" s="51"/>
      <c r="P88" s="51"/>
      <c r="Q88" s="51"/>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41" t="s">
        <v>38</v>
      </c>
      <c r="AY88" s="53" t="s">
        <v>204</v>
      </c>
      <c r="AZ88" s="52">
        <f>ROUND((AZ83-AZ84)*1000/(AZ82-AZ81),0)</f>
        <v>2167</v>
      </c>
    </row>
    <row r="89" spans="1:53" s="7" customFormat="1" ht="15.75">
      <c r="A89" s="51"/>
      <c r="B89" s="51"/>
      <c r="C89" s="51"/>
      <c r="D89" s="51"/>
      <c r="E89" s="51"/>
      <c r="F89" s="51"/>
      <c r="G89" s="51"/>
      <c r="H89" s="51"/>
      <c r="I89" s="51"/>
      <c r="J89" s="51"/>
      <c r="K89" s="51"/>
      <c r="L89" s="51"/>
      <c r="M89" s="51"/>
      <c r="N89" s="51"/>
      <c r="O89" s="51"/>
      <c r="P89" s="51"/>
      <c r="Q89" s="51"/>
      <c r="U89" s="51"/>
      <c r="V89" s="51"/>
      <c r="W89" s="51"/>
      <c r="X89" s="51"/>
      <c r="Y89" s="51"/>
      <c r="Z89" s="51"/>
      <c r="AA89" s="51"/>
      <c r="AB89" s="51"/>
      <c r="AC89" s="51"/>
      <c r="AD89" s="51"/>
      <c r="AE89" s="51"/>
      <c r="AF89" s="51"/>
      <c r="AG89" s="51"/>
      <c r="AH89" s="51"/>
      <c r="AI89" s="51"/>
      <c r="AJ89" s="51"/>
      <c r="AK89" s="51"/>
      <c r="AL89" s="51"/>
      <c r="AM89" s="51"/>
      <c r="AN89" s="51"/>
      <c r="AO89" s="51"/>
      <c r="AP89" s="51"/>
      <c r="AQ89" s="51"/>
      <c r="AR89" s="51"/>
      <c r="AS89" s="51"/>
      <c r="AT89" s="51"/>
      <c r="AU89" s="51"/>
      <c r="AV89" s="51"/>
      <c r="AW89" s="51"/>
      <c r="AX89" s="35" t="s">
        <v>38</v>
      </c>
      <c r="AY89" s="36" t="s">
        <v>226</v>
      </c>
      <c r="AZ89" s="49" t="s">
        <v>270</v>
      </c>
    </row>
    <row r="90" spans="1:53" s="7" customFormat="1" ht="15.75">
      <c r="A90" s="51"/>
      <c r="B90" s="51"/>
      <c r="C90" s="51"/>
      <c r="D90" s="51"/>
      <c r="E90" s="51"/>
      <c r="F90" s="51"/>
      <c r="G90" s="51"/>
      <c r="H90" s="51"/>
      <c r="I90" s="51"/>
      <c r="J90" s="51"/>
      <c r="K90" s="51"/>
      <c r="L90" s="51"/>
      <c r="M90" s="51"/>
      <c r="N90" s="51"/>
      <c r="O90" s="51"/>
      <c r="P90" s="51"/>
      <c r="Q90" s="51"/>
      <c r="U90" s="51"/>
      <c r="V90" s="51"/>
      <c r="W90" s="51"/>
      <c r="X90" s="51"/>
      <c r="Y90" s="51"/>
      <c r="Z90" s="51"/>
      <c r="AA90" s="51"/>
      <c r="AB90" s="51"/>
      <c r="AC90" s="51"/>
      <c r="AD90" s="51"/>
      <c r="AE90" s="51"/>
      <c r="AF90" s="51"/>
      <c r="AG90" s="51"/>
      <c r="AH90" s="51"/>
      <c r="AI90" s="51"/>
      <c r="AJ90" s="51"/>
      <c r="AK90" s="51"/>
      <c r="AL90" s="51"/>
      <c r="AM90" s="51"/>
      <c r="AN90" s="51"/>
      <c r="AO90" s="51"/>
      <c r="AP90" s="51"/>
      <c r="AQ90" s="51"/>
      <c r="AR90" s="51"/>
      <c r="AS90" s="51"/>
      <c r="AT90" s="51"/>
      <c r="AU90" s="51"/>
      <c r="AV90" s="51"/>
      <c r="AW90" s="51"/>
      <c r="AX90" s="35" t="s">
        <v>38</v>
      </c>
      <c r="AY90" s="36" t="s">
        <v>228</v>
      </c>
      <c r="AZ90" s="49" t="s">
        <v>270</v>
      </c>
    </row>
    <row r="91" spans="1:53" s="7" customFormat="1" ht="15.75">
      <c r="A91" s="51"/>
      <c r="B91" s="51"/>
      <c r="C91" s="51"/>
      <c r="D91" s="51"/>
      <c r="E91" s="51"/>
      <c r="F91" s="51"/>
      <c r="G91" s="51"/>
      <c r="H91" s="51"/>
      <c r="I91" s="51"/>
      <c r="J91" s="51"/>
      <c r="K91" s="51"/>
      <c r="L91" s="51"/>
      <c r="M91" s="51"/>
      <c r="N91" s="51"/>
      <c r="O91" s="51"/>
      <c r="P91" s="51"/>
      <c r="Q91" s="51"/>
      <c r="U91" s="51"/>
      <c r="V91" s="51"/>
      <c r="W91" s="51"/>
      <c r="X91" s="51"/>
      <c r="Y91" s="51"/>
      <c r="Z91" s="51"/>
      <c r="AA91" s="51"/>
      <c r="AB91" s="51"/>
      <c r="AC91" s="51"/>
      <c r="AD91" s="51"/>
      <c r="AE91" s="51"/>
      <c r="AF91" s="51"/>
      <c r="AG91" s="51"/>
      <c r="AH91" s="51"/>
      <c r="AI91" s="51"/>
      <c r="AJ91" s="51"/>
      <c r="AK91" s="51"/>
      <c r="AL91" s="51"/>
      <c r="AM91" s="51"/>
      <c r="AN91" s="51"/>
      <c r="AO91" s="51"/>
      <c r="AP91" s="51"/>
      <c r="AQ91" s="51"/>
      <c r="AR91" s="51"/>
      <c r="AS91" s="51"/>
      <c r="AT91" s="51"/>
      <c r="AU91" s="51"/>
      <c r="AV91" s="51"/>
      <c r="AW91" s="51"/>
      <c r="AX91" s="35" t="s">
        <v>38</v>
      </c>
      <c r="AY91" s="36" t="s">
        <v>229</v>
      </c>
      <c r="AZ91" s="49" t="s">
        <v>230</v>
      </c>
    </row>
    <row r="92" spans="1:53" s="7" customFormat="1" ht="15.75">
      <c r="A92" s="51"/>
      <c r="B92" s="51"/>
      <c r="C92" s="51"/>
      <c r="D92" s="51"/>
      <c r="E92" s="51"/>
      <c r="F92" s="51"/>
      <c r="G92" s="51"/>
      <c r="H92" s="51"/>
      <c r="I92" s="51"/>
      <c r="J92" s="51"/>
      <c r="K92" s="51"/>
      <c r="L92" s="51"/>
      <c r="M92" s="51"/>
      <c r="N92" s="51"/>
      <c r="O92" s="51"/>
      <c r="P92" s="51"/>
      <c r="Q92" s="51"/>
      <c r="U92" s="51"/>
      <c r="V92" s="51"/>
      <c r="W92" s="51"/>
      <c r="X92" s="51"/>
      <c r="Y92" s="51"/>
      <c r="Z92" s="51"/>
      <c r="AA92" s="51"/>
      <c r="AB92" s="51"/>
      <c r="AC92" s="51"/>
      <c r="AD92" s="51"/>
      <c r="AE92" s="51"/>
      <c r="AF92" s="51"/>
      <c r="AG92" s="51"/>
      <c r="AH92" s="51"/>
      <c r="AI92" s="51"/>
      <c r="AJ92" s="51"/>
      <c r="AK92" s="51"/>
      <c r="AL92" s="51"/>
      <c r="AM92" s="51"/>
      <c r="AN92" s="51"/>
      <c r="AO92" s="51"/>
      <c r="AP92" s="51"/>
      <c r="AQ92" s="51"/>
      <c r="AR92" s="51"/>
      <c r="AS92" s="51"/>
      <c r="AT92" s="51"/>
      <c r="AU92" s="51"/>
      <c r="AV92" s="51"/>
      <c r="AW92" s="51"/>
      <c r="AX92" s="51"/>
    </row>
    <row r="93" spans="1:53" s="7" customFormat="1" ht="15.75">
      <c r="A93" s="51"/>
      <c r="B93" s="51"/>
      <c r="C93" s="51"/>
      <c r="D93" s="51"/>
      <c r="E93" s="51"/>
      <c r="F93" s="51"/>
      <c r="G93" s="51"/>
      <c r="H93" s="51"/>
      <c r="I93" s="51"/>
      <c r="J93" s="51"/>
      <c r="K93" s="51"/>
      <c r="L93" s="51"/>
      <c r="M93" s="51"/>
      <c r="N93" s="51"/>
      <c r="O93" s="51"/>
      <c r="P93" s="51"/>
      <c r="Q93" s="51"/>
      <c r="U93" s="51"/>
      <c r="V93" s="51"/>
      <c r="W93" s="51"/>
      <c r="X93" s="51"/>
      <c r="Y93" s="51"/>
      <c r="Z93" s="51"/>
      <c r="AA93" s="51"/>
      <c r="AB93" s="51"/>
      <c r="AC93" s="51"/>
      <c r="AD93" s="51"/>
      <c r="AE93" s="51"/>
      <c r="AF93" s="51"/>
      <c r="AG93" s="51"/>
      <c r="AH93" s="51"/>
      <c r="AI93" s="51"/>
      <c r="AJ93" s="51"/>
      <c r="AK93" s="51"/>
      <c r="AL93" s="51"/>
      <c r="AM93" s="51"/>
      <c r="AN93" s="51"/>
      <c r="AO93" s="51"/>
      <c r="AP93" s="51"/>
      <c r="AQ93" s="51"/>
      <c r="AR93" s="51"/>
      <c r="AS93" s="51"/>
      <c r="AT93" s="51"/>
      <c r="AU93" s="51"/>
      <c r="AV93" s="51"/>
      <c r="AW93" s="51"/>
      <c r="AX93" s="51"/>
    </row>
    <row r="94" spans="1:53" s="7" customFormat="1" ht="15.75">
      <c r="A94" s="51"/>
      <c r="B94" s="51"/>
      <c r="C94" s="51"/>
      <c r="D94" s="51"/>
      <c r="E94" s="51"/>
      <c r="F94" s="51"/>
      <c r="G94" s="51"/>
      <c r="H94" s="51"/>
      <c r="I94" s="51"/>
      <c r="J94" s="51"/>
      <c r="K94" s="51"/>
      <c r="L94" s="51"/>
      <c r="M94" s="51"/>
      <c r="N94" s="51"/>
      <c r="O94" s="51"/>
      <c r="P94" s="51"/>
      <c r="Q94" s="51"/>
      <c r="U94" s="51"/>
      <c r="V94" s="51"/>
      <c r="W94" s="51"/>
      <c r="X94" s="51"/>
      <c r="Y94" s="51"/>
      <c r="Z94" s="51"/>
      <c r="AA94" s="51"/>
      <c r="AB94" s="51"/>
      <c r="AC94" s="51"/>
      <c r="AD94" s="51"/>
      <c r="AE94" s="51"/>
      <c r="AF94" s="51"/>
      <c r="AG94" s="51"/>
      <c r="AH94" s="51"/>
      <c r="AI94" s="51"/>
      <c r="AJ94" s="51"/>
      <c r="AK94" s="51"/>
      <c r="AL94" s="51"/>
      <c r="AM94" s="51"/>
      <c r="AN94" s="51"/>
      <c r="AO94" s="51"/>
      <c r="AP94" s="51"/>
      <c r="AQ94" s="51"/>
      <c r="AR94" s="51"/>
      <c r="AS94" s="51"/>
      <c r="AT94" s="51"/>
      <c r="AU94" s="51"/>
      <c r="AV94" s="51"/>
      <c r="AW94" s="51"/>
      <c r="AX94" s="51"/>
    </row>
    <row r="95" spans="1:53" ht="15.75">
      <c r="A95" s="51"/>
      <c r="B95" s="51"/>
      <c r="C95" s="51"/>
      <c r="D95" s="51"/>
      <c r="E95" s="51"/>
      <c r="F95" s="51"/>
      <c r="G95" s="51"/>
      <c r="H95" s="51"/>
      <c r="I95" s="51"/>
      <c r="J95" s="51"/>
      <c r="K95" s="51"/>
      <c r="L95" s="51"/>
      <c r="M95" s="51"/>
      <c r="N95" s="51"/>
      <c r="O95" s="51"/>
      <c r="P95" s="51"/>
      <c r="Q95" s="51"/>
      <c r="U95" s="51"/>
      <c r="V95" s="51"/>
      <c r="W95" s="51"/>
      <c r="X95" s="51"/>
      <c r="Y95" s="51"/>
      <c r="Z95" s="51"/>
      <c r="AA95" s="51"/>
      <c r="AB95" s="51"/>
      <c r="AC95" s="51"/>
      <c r="AD95" s="51"/>
      <c r="AE95" s="51"/>
      <c r="AF95" s="51"/>
      <c r="AG95" s="51"/>
      <c r="AH95" s="51"/>
      <c r="AI95" s="51"/>
      <c r="AJ95" s="51"/>
      <c r="AK95" s="51"/>
      <c r="AL95" s="51"/>
      <c r="AM95" s="51"/>
      <c r="AN95" s="51"/>
      <c r="AO95" s="51"/>
      <c r="AP95" s="51"/>
      <c r="AQ95" s="51"/>
      <c r="AR95" s="51"/>
      <c r="AS95" s="51"/>
      <c r="AT95" s="51"/>
      <c r="AU95" s="51"/>
      <c r="AV95" s="51"/>
      <c r="AW95" s="51"/>
      <c r="AX95" s="51"/>
      <c r="AY95" s="1"/>
      <c r="AZ95" s="1"/>
      <c r="BA95" s="1"/>
    </row>
    <row r="96" spans="1:53" ht="15.75">
      <c r="A96" s="51"/>
      <c r="B96" s="51"/>
      <c r="C96" s="51"/>
      <c r="D96" s="51"/>
      <c r="E96" s="51"/>
      <c r="F96" s="51"/>
      <c r="G96" s="51"/>
      <c r="H96" s="51"/>
      <c r="I96" s="51"/>
      <c r="J96" s="51"/>
      <c r="K96" s="51"/>
      <c r="L96" s="51"/>
      <c r="M96" s="51"/>
      <c r="N96" s="51"/>
      <c r="O96" s="51"/>
      <c r="P96" s="51"/>
      <c r="Q96" s="51"/>
      <c r="U96" s="51"/>
      <c r="V96" s="51"/>
      <c r="W96" s="51"/>
      <c r="X96" s="51"/>
      <c r="Y96" s="51"/>
      <c r="Z96" s="51"/>
      <c r="AA96" s="51"/>
      <c r="AB96" s="51"/>
      <c r="AC96" s="51"/>
      <c r="AD96" s="51"/>
      <c r="AE96" s="51"/>
      <c r="AF96" s="51"/>
      <c r="AG96" s="51"/>
      <c r="AH96" s="51"/>
      <c r="AI96" s="51"/>
      <c r="AJ96" s="51"/>
      <c r="AK96" s="51"/>
      <c r="AL96" s="51"/>
      <c r="AM96" s="51"/>
      <c r="AN96" s="51"/>
      <c r="AO96" s="51"/>
      <c r="AP96" s="51"/>
      <c r="AQ96" s="51"/>
      <c r="AR96" s="51"/>
      <c r="AS96" s="51"/>
      <c r="AT96" s="51"/>
      <c r="AU96" s="51"/>
      <c r="AV96" s="51"/>
      <c r="AW96" s="51"/>
      <c r="AX96" s="51"/>
      <c r="AY96" s="1"/>
      <c r="AZ96" s="1"/>
      <c r="BA96" s="1"/>
    </row>
    <row r="97" spans="1:53" ht="15.75">
      <c r="A97" s="51"/>
      <c r="B97" s="51"/>
      <c r="C97" s="51"/>
      <c r="D97" s="51"/>
      <c r="E97" s="51"/>
      <c r="F97" s="51"/>
      <c r="G97" s="51"/>
      <c r="H97" s="51"/>
      <c r="I97" s="51"/>
      <c r="J97" s="51"/>
      <c r="K97" s="51"/>
      <c r="L97" s="51"/>
      <c r="M97" s="51"/>
      <c r="N97" s="51"/>
      <c r="O97" s="51"/>
      <c r="P97" s="51"/>
      <c r="Q97" s="51"/>
      <c r="U97" s="51"/>
      <c r="V97" s="51"/>
      <c r="W97" s="51"/>
      <c r="X97" s="51"/>
      <c r="Y97" s="51"/>
      <c r="Z97" s="51"/>
      <c r="AA97" s="51"/>
      <c r="AB97" s="51"/>
      <c r="AC97" s="51"/>
      <c r="AD97" s="51"/>
      <c r="AE97" s="51"/>
      <c r="AF97" s="51"/>
      <c r="AG97" s="51"/>
      <c r="AH97" s="51"/>
      <c r="AI97" s="51"/>
      <c r="AJ97" s="51"/>
      <c r="AK97" s="51"/>
      <c r="AL97" s="51"/>
      <c r="AM97" s="51"/>
      <c r="AN97" s="51"/>
      <c r="AO97" s="51"/>
      <c r="AP97" s="51"/>
      <c r="AQ97" s="51"/>
      <c r="AR97" s="51"/>
      <c r="AS97" s="51"/>
      <c r="AT97" s="51"/>
      <c r="AU97" s="51"/>
      <c r="AV97" s="51"/>
      <c r="AW97" s="51"/>
      <c r="AX97" s="51"/>
      <c r="AY97" s="1"/>
      <c r="AZ97" s="1"/>
      <c r="BA97" s="1"/>
    </row>
    <row r="98" spans="1:53" ht="15.75">
      <c r="A98" s="51"/>
      <c r="B98" s="51"/>
      <c r="C98" s="51"/>
      <c r="D98" s="51"/>
      <c r="E98" s="51"/>
      <c r="F98" s="51"/>
      <c r="G98" s="51"/>
      <c r="H98" s="51"/>
      <c r="I98" s="51"/>
      <c r="J98" s="51"/>
      <c r="K98" s="51"/>
      <c r="L98" s="51"/>
      <c r="M98" s="51"/>
      <c r="N98" s="51"/>
      <c r="O98" s="51"/>
      <c r="P98" s="51"/>
      <c r="Q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c r="AT98" s="51"/>
      <c r="AU98" s="51"/>
      <c r="AV98" s="51"/>
      <c r="AW98" s="51"/>
      <c r="AX98" s="51"/>
      <c r="AY98" s="1"/>
      <c r="AZ98" s="1"/>
      <c r="BA98" s="1"/>
    </row>
    <row r="99" spans="1:53" ht="15.75">
      <c r="A99" s="51"/>
      <c r="B99" s="51"/>
      <c r="C99" s="51"/>
      <c r="D99" s="51"/>
      <c r="E99" s="51"/>
      <c r="F99" s="51"/>
      <c r="G99" s="51"/>
      <c r="H99" s="51"/>
      <c r="I99" s="51"/>
      <c r="J99" s="51"/>
      <c r="K99" s="51"/>
      <c r="L99" s="51"/>
      <c r="M99" s="51"/>
      <c r="N99" s="51"/>
      <c r="O99" s="51"/>
      <c r="P99" s="51"/>
      <c r="Q99" s="51"/>
      <c r="U99" s="51"/>
      <c r="V99" s="51"/>
      <c r="W99" s="51"/>
      <c r="X99" s="51"/>
      <c r="Y99" s="51"/>
      <c r="Z99" s="51"/>
      <c r="AA99" s="51"/>
      <c r="AB99" s="51"/>
      <c r="AC99" s="51"/>
      <c r="AD99" s="51"/>
      <c r="AE99" s="51"/>
      <c r="AF99" s="51"/>
      <c r="AG99" s="51"/>
      <c r="AH99" s="51"/>
      <c r="AI99" s="51"/>
      <c r="AJ99" s="51"/>
      <c r="AK99" s="51"/>
      <c r="AL99" s="51"/>
      <c r="AM99" s="51"/>
      <c r="AN99" s="51"/>
      <c r="AO99" s="51"/>
      <c r="AP99" s="51"/>
      <c r="AQ99" s="51"/>
      <c r="AR99" s="51"/>
      <c r="AS99" s="51"/>
      <c r="AT99" s="51"/>
      <c r="AU99" s="51"/>
      <c r="AV99" s="51"/>
      <c r="AW99" s="51"/>
      <c r="AX99" s="51"/>
      <c r="AY99" s="1"/>
      <c r="AZ99" s="1"/>
      <c r="BA99" s="1"/>
    </row>
    <row r="100" spans="1:53" ht="15.75">
      <c r="A100" s="51"/>
      <c r="B100" s="51"/>
      <c r="C100" s="51"/>
      <c r="D100" s="51"/>
      <c r="E100" s="51"/>
      <c r="F100" s="51"/>
      <c r="G100" s="51"/>
      <c r="H100" s="51"/>
      <c r="I100" s="51"/>
      <c r="J100" s="51"/>
      <c r="K100" s="51"/>
      <c r="L100" s="51"/>
      <c r="M100" s="51"/>
      <c r="N100" s="51"/>
      <c r="O100" s="51"/>
      <c r="P100" s="51"/>
      <c r="Q100" s="51"/>
      <c r="U100" s="51"/>
      <c r="V100" s="51"/>
      <c r="W100" s="51"/>
      <c r="X100" s="51"/>
      <c r="Y100" s="51"/>
      <c r="Z100" s="51"/>
      <c r="AA100" s="51"/>
      <c r="AB100" s="51"/>
      <c r="AC100" s="51"/>
      <c r="AD100" s="51"/>
      <c r="AE100" s="51"/>
      <c r="AF100" s="51"/>
      <c r="AG100" s="51"/>
      <c r="AH100" s="51"/>
      <c r="AI100" s="51"/>
      <c r="AJ100" s="51"/>
      <c r="AK100" s="51"/>
      <c r="AL100" s="51"/>
      <c r="AM100" s="51"/>
      <c r="AN100" s="51"/>
      <c r="AO100" s="51"/>
      <c r="AP100" s="51"/>
      <c r="AQ100" s="51"/>
      <c r="AR100" s="51"/>
      <c r="AS100" s="51"/>
      <c r="AT100" s="51"/>
      <c r="AU100" s="51"/>
      <c r="AV100" s="51"/>
      <c r="AW100" s="51"/>
      <c r="AX100" s="51"/>
      <c r="AY100" s="51"/>
      <c r="AZ100" s="51"/>
      <c r="BA100" s="51"/>
    </row>
    <row r="101" spans="1:53" ht="15.75">
      <c r="A101" s="51"/>
      <c r="B101" s="51"/>
      <c r="C101" s="51"/>
      <c r="D101" s="51"/>
      <c r="E101" s="51"/>
      <c r="F101" s="51"/>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c r="AT101" s="51"/>
      <c r="AU101" s="51"/>
      <c r="AV101" s="51"/>
      <c r="AW101" s="51"/>
      <c r="AX101" s="51"/>
      <c r="AY101" s="51"/>
      <c r="AZ101" s="51"/>
      <c r="BA101" s="51"/>
    </row>
    <row r="102" spans="1:53" ht="15.75">
      <c r="A102" s="51"/>
      <c r="B102" s="51"/>
      <c r="C102" s="51"/>
      <c r="D102" s="51"/>
      <c r="E102" s="51"/>
      <c r="F102" s="51"/>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c r="AT102" s="51"/>
      <c r="AU102" s="51"/>
      <c r="AV102" s="51"/>
      <c r="AW102" s="51"/>
      <c r="AX102" s="51"/>
      <c r="AY102" s="51"/>
      <c r="AZ102" s="51"/>
      <c r="BA102" s="51"/>
    </row>
    <row r="103" spans="1:53" ht="15.75">
      <c r="A103" s="51"/>
      <c r="B103" s="51"/>
      <c r="C103" s="51"/>
      <c r="D103" s="51"/>
      <c r="E103" s="51"/>
      <c r="F103" s="51"/>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c r="AJ103" s="51"/>
      <c r="AK103" s="51"/>
      <c r="AL103" s="51"/>
      <c r="AM103" s="51"/>
      <c r="AN103" s="51"/>
      <c r="AO103" s="51"/>
      <c r="AP103" s="51"/>
      <c r="AQ103" s="51"/>
      <c r="AR103" s="51"/>
      <c r="AS103" s="51"/>
      <c r="AT103" s="51"/>
      <c r="AU103" s="51"/>
      <c r="AV103" s="51"/>
      <c r="AW103" s="51"/>
      <c r="AX103" s="51"/>
      <c r="AY103" s="51"/>
      <c r="AZ103" s="51"/>
      <c r="BA103" s="51"/>
    </row>
    <row r="104" spans="1:53" ht="15.75">
      <c r="A104" s="51"/>
      <c r="B104" s="51"/>
      <c r="C104" s="51"/>
      <c r="D104" s="51"/>
      <c r="E104" s="51"/>
      <c r="F104" s="51"/>
      <c r="G104" s="51"/>
      <c r="H104" s="51"/>
      <c r="I104" s="51"/>
      <c r="J104" s="51"/>
      <c r="K104" s="51"/>
      <c r="L104" s="51"/>
      <c r="M104" s="51"/>
      <c r="N104" s="51"/>
      <c r="O104" s="51"/>
      <c r="P104" s="51"/>
      <c r="Q104" s="51"/>
      <c r="R104" s="51"/>
      <c r="S104" s="51"/>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c r="AT104" s="51"/>
      <c r="AU104" s="51"/>
      <c r="AV104" s="51"/>
      <c r="AW104" s="51"/>
      <c r="AX104" s="51"/>
      <c r="AY104" s="51"/>
      <c r="AZ104" s="51"/>
      <c r="BA104" s="51"/>
    </row>
    <row r="105" spans="1:53" ht="15.75">
      <c r="A105" s="51"/>
      <c r="B105" s="51"/>
      <c r="C105" s="51"/>
      <c r="D105" s="51"/>
      <c r="E105" s="51"/>
      <c r="F105" s="51"/>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c r="AD105" s="51"/>
      <c r="AE105" s="51"/>
      <c r="AF105" s="51"/>
      <c r="AG105" s="51"/>
      <c r="AH105" s="51"/>
      <c r="AI105" s="51"/>
      <c r="AJ105" s="51"/>
      <c r="AK105" s="51"/>
      <c r="AL105" s="51"/>
      <c r="AM105" s="51"/>
      <c r="AN105" s="51"/>
      <c r="AO105" s="51"/>
      <c r="AP105" s="51"/>
      <c r="AQ105" s="51"/>
      <c r="AR105" s="51"/>
      <c r="AS105" s="51"/>
      <c r="AT105" s="51"/>
      <c r="AU105" s="51"/>
      <c r="AV105" s="51"/>
      <c r="AW105" s="51"/>
      <c r="AX105" s="51"/>
      <c r="AY105" s="51"/>
      <c r="AZ105" s="51"/>
      <c r="BA105" s="51"/>
    </row>
    <row r="106" spans="1:53" ht="15.75">
      <c r="A106" s="51"/>
      <c r="B106" s="51"/>
      <c r="C106" s="51"/>
      <c r="D106" s="51"/>
      <c r="E106" s="51"/>
      <c r="F106" s="51"/>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c r="AV106" s="51"/>
      <c r="AW106" s="51"/>
      <c r="AX106" s="51"/>
      <c r="AY106" s="51"/>
      <c r="AZ106" s="51"/>
      <c r="BA106" s="51"/>
    </row>
    <row r="107" spans="1:53" ht="15.75">
      <c r="A107" s="51"/>
      <c r="B107" s="51"/>
      <c r="C107" s="51"/>
      <c r="D107" s="51"/>
      <c r="E107" s="51"/>
      <c r="F107" s="51"/>
      <c r="G107" s="51"/>
      <c r="H107" s="51"/>
      <c r="I107" s="5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c r="AV107" s="51"/>
      <c r="AW107" s="51"/>
      <c r="AX107" s="51"/>
      <c r="AY107" s="51"/>
      <c r="AZ107" s="51"/>
      <c r="BA107" s="51"/>
    </row>
    <row r="108" spans="1:53" ht="15.75">
      <c r="A108" s="51"/>
      <c r="B108" s="51"/>
      <c r="C108" s="51"/>
      <c r="D108" s="51"/>
      <c r="E108" s="51"/>
      <c r="F108" s="51"/>
      <c r="G108" s="51"/>
      <c r="H108" s="51"/>
      <c r="I108" s="5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c r="AV108" s="51"/>
      <c r="AW108" s="51"/>
      <c r="AX108" s="51"/>
      <c r="AY108" s="51"/>
      <c r="AZ108" s="51"/>
      <c r="BA108" s="51"/>
    </row>
    <row r="109" spans="1:53" ht="15.75">
      <c r="A109" s="51"/>
      <c r="B109" s="51"/>
      <c r="C109" s="51"/>
      <c r="D109" s="51"/>
      <c r="E109" s="51"/>
      <c r="F109" s="51"/>
      <c r="G109" s="51"/>
      <c r="H109" s="51"/>
      <c r="I109" s="5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c r="AV109" s="51"/>
      <c r="AW109" s="51"/>
      <c r="AX109" s="51"/>
      <c r="AY109" s="51"/>
      <c r="AZ109" s="51"/>
      <c r="BA109" s="51"/>
    </row>
    <row r="110" spans="1:53" ht="15.75">
      <c r="A110" s="51"/>
      <c r="B110" s="51"/>
      <c r="C110" s="51"/>
      <c r="D110" s="51"/>
      <c r="E110" s="51"/>
      <c r="F110" s="51"/>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c r="AV110" s="51"/>
      <c r="AW110" s="51"/>
      <c r="AX110" s="51"/>
      <c r="AY110" s="51"/>
      <c r="AZ110" s="51"/>
      <c r="BA110" s="51"/>
    </row>
    <row r="111" spans="1:53" ht="15.75">
      <c r="A111" s="51"/>
      <c r="B111" s="51"/>
      <c r="C111" s="51"/>
      <c r="D111" s="51"/>
      <c r="E111" s="51"/>
      <c r="F111" s="51"/>
      <c r="G111" s="51"/>
      <c r="H111" s="51"/>
      <c r="I111" s="5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c r="AV111" s="51"/>
      <c r="AW111" s="51"/>
      <c r="AX111" s="51"/>
      <c r="AY111" s="51"/>
      <c r="AZ111" s="51"/>
      <c r="BA111" s="51"/>
    </row>
    <row r="112" spans="1:53" ht="15.75">
      <c r="A112" s="51"/>
      <c r="B112" s="51"/>
      <c r="C112" s="51"/>
      <c r="D112" s="51"/>
      <c r="E112" s="51"/>
      <c r="F112" s="51"/>
      <c r="G112" s="51"/>
      <c r="H112" s="51"/>
      <c r="I112" s="5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c r="AV112" s="51"/>
      <c r="AW112" s="51"/>
      <c r="AX112" s="51"/>
      <c r="AY112" s="51"/>
      <c r="AZ112" s="51"/>
      <c r="BA112" s="51"/>
    </row>
    <row r="113" spans="1:53" ht="15.75">
      <c r="A113" s="51"/>
      <c r="B113" s="51"/>
      <c r="C113" s="51"/>
      <c r="D113" s="51"/>
      <c r="E113" s="51"/>
      <c r="F113" s="51"/>
      <c r="G113" s="51"/>
      <c r="H113" s="51"/>
      <c r="I113" s="5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c r="AV113" s="51"/>
      <c r="AW113" s="51"/>
      <c r="AX113" s="51"/>
      <c r="AY113" s="51"/>
      <c r="AZ113" s="51"/>
      <c r="BA113" s="51"/>
    </row>
    <row r="114" spans="1:53" ht="15.75">
      <c r="A114" s="51"/>
      <c r="B114" s="51"/>
      <c r="C114" s="51"/>
      <c r="D114" s="51"/>
      <c r="E114" s="51"/>
      <c r="F114" s="51"/>
      <c r="G114" s="51"/>
      <c r="H114" s="51"/>
      <c r="I114" s="5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c r="AV114" s="51"/>
      <c r="AW114" s="51"/>
      <c r="AX114" s="51"/>
      <c r="AY114" s="51"/>
      <c r="AZ114" s="51"/>
      <c r="BA114" s="51"/>
    </row>
    <row r="115" spans="1:53" ht="15.75">
      <c r="A115" s="51"/>
      <c r="B115" s="51"/>
      <c r="C115" s="51"/>
      <c r="D115" s="51"/>
      <c r="E115" s="51"/>
      <c r="F115" s="51"/>
      <c r="G115" s="51"/>
      <c r="H115" s="51"/>
      <c r="I115" s="5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c r="AV115" s="51"/>
      <c r="AW115" s="51"/>
      <c r="AX115" s="51"/>
      <c r="AY115" s="51"/>
      <c r="AZ115" s="51"/>
      <c r="BA115" s="51"/>
    </row>
    <row r="116" spans="1:53" ht="15.75">
      <c r="A116" s="51"/>
      <c r="B116" s="51"/>
      <c r="C116" s="51"/>
      <c r="D116" s="51"/>
      <c r="E116" s="51"/>
      <c r="F116" s="51"/>
      <c r="G116" s="51"/>
      <c r="H116" s="51"/>
      <c r="I116" s="51"/>
      <c r="J116" s="51"/>
      <c r="K116" s="51"/>
      <c r="L116" s="51"/>
      <c r="M116" s="51"/>
      <c r="N116" s="51"/>
      <c r="O116" s="51"/>
      <c r="P116" s="51"/>
      <c r="Q116" s="51"/>
      <c r="R116" s="51"/>
      <c r="S116" s="51"/>
      <c r="T116" s="51"/>
      <c r="U116" s="51"/>
      <c r="V116" s="51"/>
      <c r="W116" s="51"/>
      <c r="X116" s="51"/>
      <c r="Y116" s="51"/>
      <c r="Z116" s="51"/>
      <c r="AA116" s="51"/>
      <c r="AB116" s="51"/>
      <c r="AC116" s="51"/>
      <c r="AD116" s="51"/>
      <c r="AE116" s="51"/>
      <c r="AF116" s="51"/>
      <c r="AG116" s="51"/>
      <c r="AH116" s="51"/>
      <c r="AI116" s="51"/>
      <c r="AJ116" s="51"/>
      <c r="AK116" s="51"/>
      <c r="AL116" s="51"/>
      <c r="AM116" s="51"/>
      <c r="AN116" s="51"/>
      <c r="AO116" s="51"/>
      <c r="AP116" s="51"/>
      <c r="AQ116" s="51"/>
      <c r="AR116" s="51"/>
      <c r="AS116" s="51"/>
      <c r="AT116" s="51"/>
      <c r="AU116" s="51"/>
      <c r="AV116" s="51"/>
      <c r="AW116" s="51"/>
      <c r="AX116" s="51"/>
      <c r="AY116" s="51"/>
      <c r="AZ116" s="51"/>
      <c r="BA116" s="51"/>
    </row>
    <row r="117" spans="1:53" ht="15.75">
      <c r="A117" s="51"/>
      <c r="B117" s="51"/>
      <c r="C117" s="51"/>
      <c r="D117" s="51"/>
      <c r="E117" s="51"/>
      <c r="F117" s="51"/>
      <c r="G117" s="51"/>
      <c r="H117" s="51"/>
      <c r="I117" s="51"/>
      <c r="J117" s="51"/>
      <c r="K117" s="51"/>
      <c r="L117" s="51"/>
      <c r="M117" s="51"/>
      <c r="N117" s="51"/>
      <c r="O117" s="51"/>
      <c r="P117" s="51"/>
      <c r="Q117" s="51"/>
      <c r="R117" s="51"/>
      <c r="S117" s="51"/>
      <c r="T117" s="51"/>
      <c r="U117" s="51"/>
      <c r="V117" s="51"/>
      <c r="W117" s="51"/>
      <c r="X117" s="51"/>
      <c r="Y117" s="51"/>
      <c r="Z117" s="51"/>
      <c r="AA117" s="51"/>
      <c r="AB117" s="51"/>
      <c r="AC117" s="51"/>
      <c r="AD117" s="51"/>
      <c r="AE117" s="51"/>
      <c r="AF117" s="51"/>
      <c r="AG117" s="51"/>
      <c r="AH117" s="51"/>
      <c r="AI117" s="51"/>
      <c r="AJ117" s="51"/>
      <c r="AK117" s="51"/>
      <c r="AL117" s="51"/>
      <c r="AM117" s="51"/>
      <c r="AN117" s="51"/>
      <c r="AO117" s="51"/>
      <c r="AP117" s="51"/>
      <c r="AQ117" s="51"/>
      <c r="AR117" s="51"/>
      <c r="AS117" s="51"/>
      <c r="AT117" s="51"/>
      <c r="AU117" s="51"/>
      <c r="AV117" s="51"/>
      <c r="AW117" s="51"/>
      <c r="AX117" s="51"/>
      <c r="AY117" s="51"/>
      <c r="AZ117" s="51"/>
      <c r="BA117" s="51"/>
    </row>
    <row r="118" spans="1:53" ht="15.75">
      <c r="A118" s="51"/>
      <c r="B118" s="51"/>
      <c r="C118" s="51"/>
      <c r="D118" s="51"/>
      <c r="E118" s="51"/>
      <c r="F118" s="51"/>
      <c r="G118" s="51"/>
      <c r="H118" s="51"/>
      <c r="I118" s="51"/>
      <c r="J118" s="51"/>
      <c r="K118" s="51"/>
      <c r="L118" s="51"/>
      <c r="M118" s="51"/>
      <c r="N118" s="51"/>
      <c r="O118" s="51"/>
      <c r="P118" s="51"/>
      <c r="Q118" s="51"/>
      <c r="R118" s="51"/>
      <c r="S118" s="51"/>
      <c r="T118" s="51"/>
      <c r="U118" s="51"/>
      <c r="V118" s="51"/>
      <c r="W118" s="51"/>
      <c r="X118" s="51"/>
      <c r="Y118" s="51"/>
      <c r="Z118" s="51"/>
      <c r="AA118" s="51"/>
      <c r="AB118" s="51"/>
      <c r="AC118" s="51"/>
      <c r="AD118" s="51"/>
      <c r="AE118" s="51"/>
      <c r="AF118" s="51"/>
      <c r="AG118" s="51"/>
      <c r="AH118" s="51"/>
      <c r="AI118" s="51"/>
      <c r="AJ118" s="51"/>
      <c r="AK118" s="51"/>
      <c r="AL118" s="51"/>
      <c r="AM118" s="51"/>
      <c r="AN118" s="51"/>
      <c r="AO118" s="51"/>
      <c r="AP118" s="51"/>
      <c r="AQ118" s="51"/>
      <c r="AR118" s="51"/>
      <c r="AS118" s="51"/>
      <c r="AT118" s="51"/>
      <c r="AU118" s="51"/>
      <c r="AV118" s="51"/>
      <c r="AW118" s="51"/>
      <c r="AX118" s="51"/>
      <c r="AY118" s="51"/>
      <c r="AZ118" s="51"/>
      <c r="BA118" s="51"/>
    </row>
    <row r="119" spans="1:53" ht="15.75">
      <c r="A119" s="51"/>
      <c r="B119" s="51"/>
      <c r="C119" s="51"/>
      <c r="D119" s="51"/>
      <c r="E119" s="51"/>
      <c r="F119" s="51"/>
      <c r="G119" s="51"/>
      <c r="H119" s="51"/>
      <c r="I119" s="51"/>
      <c r="J119" s="51"/>
      <c r="K119" s="51"/>
      <c r="L119" s="51"/>
      <c r="M119" s="51"/>
      <c r="N119" s="51"/>
      <c r="O119" s="51"/>
      <c r="P119" s="51"/>
      <c r="Q119" s="51"/>
      <c r="R119" s="51"/>
      <c r="S119" s="51"/>
      <c r="T119" s="51"/>
      <c r="U119" s="51"/>
      <c r="V119" s="51"/>
      <c r="W119" s="51"/>
      <c r="X119" s="51"/>
      <c r="Y119" s="51"/>
      <c r="Z119" s="51"/>
      <c r="AA119" s="51"/>
      <c r="AB119" s="51"/>
      <c r="AC119" s="51"/>
      <c r="AD119" s="51"/>
      <c r="AE119" s="51"/>
      <c r="AF119" s="51"/>
      <c r="AG119" s="51"/>
      <c r="AH119" s="51"/>
      <c r="AI119" s="51"/>
      <c r="AJ119" s="51"/>
      <c r="AK119" s="51"/>
      <c r="AL119" s="51"/>
      <c r="AM119" s="51"/>
      <c r="AN119" s="51"/>
      <c r="AO119" s="51"/>
      <c r="AP119" s="51"/>
      <c r="AQ119" s="51"/>
      <c r="AR119" s="51"/>
      <c r="AS119" s="51"/>
      <c r="AT119" s="51"/>
      <c r="AU119" s="51"/>
      <c r="AV119" s="51"/>
      <c r="AW119" s="51"/>
      <c r="AX119" s="51"/>
      <c r="AY119" s="51"/>
      <c r="AZ119" s="51"/>
      <c r="BA119" s="51"/>
    </row>
    <row r="120" spans="1:53" ht="15.75">
      <c r="A120" s="51"/>
      <c r="B120" s="51"/>
      <c r="C120" s="51"/>
      <c r="D120" s="51"/>
      <c r="E120" s="51"/>
      <c r="F120" s="51"/>
      <c r="G120" s="51"/>
      <c r="H120" s="51"/>
      <c r="I120" s="51"/>
      <c r="J120" s="51"/>
      <c r="K120" s="51"/>
      <c r="L120" s="51"/>
      <c r="M120" s="51"/>
      <c r="N120" s="51"/>
      <c r="O120" s="51"/>
      <c r="P120" s="51"/>
      <c r="Q120" s="51"/>
      <c r="R120" s="51"/>
      <c r="S120" s="51"/>
      <c r="T120" s="51"/>
      <c r="U120" s="51"/>
      <c r="V120" s="51"/>
      <c r="W120" s="51"/>
      <c r="X120" s="51"/>
      <c r="Y120" s="51"/>
      <c r="Z120" s="51"/>
      <c r="AA120" s="51"/>
      <c r="AB120" s="51"/>
      <c r="AC120" s="51"/>
      <c r="AD120" s="51"/>
      <c r="AE120" s="51"/>
      <c r="AF120" s="51"/>
      <c r="AG120" s="51"/>
      <c r="AH120" s="51"/>
      <c r="AI120" s="51"/>
      <c r="AJ120" s="51"/>
      <c r="AK120" s="51"/>
      <c r="AL120" s="51"/>
      <c r="AM120" s="51"/>
      <c r="AN120" s="51"/>
      <c r="AO120" s="51"/>
      <c r="AP120" s="51"/>
      <c r="AQ120" s="51"/>
      <c r="AR120" s="51"/>
      <c r="AS120" s="51"/>
      <c r="AT120" s="51"/>
      <c r="AU120" s="51"/>
      <c r="AV120" s="51"/>
      <c r="AW120" s="51"/>
      <c r="AX120" s="51"/>
      <c r="AY120" s="51"/>
      <c r="AZ120" s="51"/>
      <c r="BA120" s="51"/>
    </row>
    <row r="121" spans="1:53" ht="15.75">
      <c r="A121" s="51"/>
      <c r="B121" s="51"/>
      <c r="C121" s="51"/>
      <c r="D121" s="51"/>
      <c r="E121" s="51"/>
      <c r="F121" s="51"/>
      <c r="G121" s="51"/>
      <c r="H121" s="51"/>
      <c r="I121" s="51"/>
      <c r="J121" s="51"/>
      <c r="K121" s="51"/>
      <c r="L121" s="51"/>
      <c r="M121" s="51"/>
      <c r="N121" s="51"/>
      <c r="O121" s="51"/>
      <c r="P121" s="51"/>
      <c r="Q121" s="51"/>
      <c r="R121" s="51"/>
      <c r="S121" s="51"/>
      <c r="T121" s="51"/>
      <c r="U121" s="51"/>
      <c r="V121" s="51"/>
      <c r="W121" s="51"/>
      <c r="X121" s="51"/>
      <c r="Y121" s="51"/>
      <c r="Z121" s="51"/>
      <c r="AA121" s="51"/>
      <c r="AB121" s="51"/>
      <c r="AC121" s="51"/>
      <c r="AD121" s="51"/>
      <c r="AE121" s="51"/>
      <c r="AF121" s="51"/>
      <c r="AG121" s="51"/>
      <c r="AH121" s="51"/>
      <c r="AI121" s="51"/>
      <c r="AJ121" s="51"/>
      <c r="AK121" s="51"/>
      <c r="AL121" s="51"/>
      <c r="AM121" s="51"/>
      <c r="AN121" s="51"/>
      <c r="AO121" s="51"/>
      <c r="AP121" s="51"/>
      <c r="AQ121" s="51"/>
      <c r="AR121" s="51"/>
      <c r="AS121" s="51"/>
      <c r="AT121" s="51"/>
      <c r="AU121" s="51"/>
      <c r="AV121" s="51"/>
      <c r="AW121" s="51"/>
      <c r="AX121" s="51"/>
      <c r="AY121" s="51"/>
      <c r="AZ121" s="51"/>
      <c r="BA121" s="51"/>
    </row>
    <row r="122" spans="1:53" ht="15.75">
      <c r="A122" s="51"/>
      <c r="B122" s="51"/>
      <c r="C122" s="51"/>
      <c r="D122" s="51"/>
      <c r="E122" s="51"/>
      <c r="F122" s="51"/>
      <c r="G122" s="51"/>
      <c r="H122" s="51"/>
      <c r="I122" s="51"/>
      <c r="J122" s="51"/>
      <c r="K122" s="51"/>
      <c r="L122" s="51"/>
      <c r="M122" s="51"/>
      <c r="N122" s="51"/>
      <c r="O122" s="51"/>
      <c r="P122" s="51"/>
      <c r="Q122" s="51"/>
      <c r="R122" s="51"/>
      <c r="S122" s="51"/>
      <c r="T122" s="51"/>
      <c r="U122" s="51"/>
      <c r="V122" s="51"/>
      <c r="W122" s="51"/>
      <c r="X122" s="51"/>
      <c r="Y122" s="51"/>
      <c r="Z122" s="51"/>
      <c r="AA122" s="51"/>
      <c r="AB122" s="51"/>
      <c r="AC122" s="51"/>
      <c r="AD122" s="51"/>
      <c r="AE122" s="51"/>
      <c r="AF122" s="51"/>
      <c r="AG122" s="51"/>
      <c r="AH122" s="51"/>
      <c r="AI122" s="51"/>
      <c r="AJ122" s="51"/>
      <c r="AK122" s="51"/>
      <c r="AL122" s="51"/>
      <c r="AM122" s="51"/>
      <c r="AN122" s="51"/>
      <c r="AO122" s="51"/>
      <c r="AP122" s="51"/>
      <c r="AQ122" s="51"/>
      <c r="AR122" s="51"/>
      <c r="AS122" s="51"/>
      <c r="AT122" s="51"/>
      <c r="AU122" s="51"/>
      <c r="AV122" s="51"/>
      <c r="AW122" s="51"/>
      <c r="AX122" s="51"/>
      <c r="AY122" s="51"/>
      <c r="AZ122" s="51"/>
      <c r="BA122" s="51"/>
    </row>
  </sheetData>
  <phoneticPr fontId="8" type="noConversion"/>
  <dataValidations count="14">
    <dataValidation type="list" allowBlank="1" showInputMessage="1" sqref="AE61 AE47 AE40 AE33 AE26 AE19 AE12 AE68 AI26 AU5 C5 C33 C47 C54 C61 C68 AU12 G5 G19 G26 G33 G40 G47 G54 G61 G68 AY19 AU68 AY26 AQ5 K33 K40 K47 K54 K61 K68 O12 O5 O19 O26 O33 O40 O47 O54 O61 O68 S12 S5 S19 S26 S33 S40 S47 S54 S61 S68 W12 W5 W19 W26 W33 W40 W47 W54 W61 W68 C40 AY47 G12 AA68 AA61 AA54 AA47 AI19 C19 AY12 AY68 C26 AY40 AY61 AY54 AA12 AA33 AA40 AY33 AI12 AE54 AI47 AM5 AM61 AM54 AM47 AM40 AM33 AM26 AM19 AM12 AM68 AA26 AQ61 AQ54 AQ47 AQ40 AQ33 AQ26 AQ19 AQ12 AQ68 AY5 AU61 AU54 AU47 AU40 AU33 AU26 AU19 AI5 AI61 AI54 AI40 AI33 AI68 K19 K12 K5 K26">
      <formula1>'6755_coolers'!A2:A137</formula1>
    </dataValidation>
    <dataValidation type="list" allowBlank="1" showInputMessage="1" showErrorMessage="1" sqref="AU1 C1 G1 AY1 O1 S1 W1 AI1 AA1 AM1 AQ1 K1">
      <formula1>'6755_tz'!A2:A97</formula1>
    </dataValidation>
    <dataValidation type="decimal" allowBlank="1" showInputMessage="1" showErrorMessage="1" errorTitle="Invalid" error="Must between [-1, 65535]" promptTitle="Range" prompt="between [-1, 65535]" sqref="L79:L81">
      <formula1>-1</formula1>
      <formula2>65535</formula2>
    </dataValidation>
    <dataValidation type="decimal" allowBlank="1" showInputMessage="1" showErrorMessage="1" errorTitle="Invalid" error="Must be 0 or 1" promptTitle="kernel log" prompt="0, off (default)_x000a_1, on" sqref="L78 AJ78">
      <formula1>0</formula1>
      <formula2>1</formula2>
    </dataValidation>
    <dataValidation type="decimal" allowBlank="1" showInputMessage="1" showErrorMessage="1" errorTitle="Invalid" error="Must between [-1, 65535]" promptTitle="Range" prompt="0 or between [100, 25500]" sqref="AN79:AN80 AR79:AR80 AV79:AV80 AJ79:AJ86">
      <formula1>0</formula1>
      <formula2>25500</formula2>
    </dataValidation>
    <dataValidation type="decimal" allowBlank="1" showInputMessage="1" showErrorMessage="1" errorTitle="Invalid" error="Must be 0 or 1" promptTitle="kernel log" prompt="[1, max step]" sqref="AN78 AR78 AV78">
      <formula1>1</formula1>
      <formula2>5</formula2>
    </dataValidation>
    <dataValidation type="list" allowBlank="1" showInputMessage="1" showErrorMessage="1" sqref="T77 D1 H1 T1 X1 P1 AB1 X77 AJ1 AN1 AR1 H77 L77 AZ77 AF1 AB77 P77 D77 AV1 AZ1 AV77 AF77 AJ77 AN77 AR77 L1">
      <formula1>"ENABLE,DISABLE"</formula1>
    </dataValidation>
    <dataValidation type="list" allowBlank="1" showInputMessage="1" showErrorMessage="1" sqref="AA41:AA43 AY20:AY22 AE55:AE57 AE48:AE50 AE41:AE43 AE34:AE36 AE27:AE29 AE20:AE22 AE69:AE71 AE13:AE15 AE62:AE64 AI69:AI71 AU62:AU64 O13:O15 O69:O71 O20:O22 O27:O29 O34:O36 O41:O43 O6:O8 O48:O50 O55:O57 O62:O64 C69:C71 C34:C36 C6:C8 C48:C50 C55:C57 C62:C64 S13:S15 S69:S71 S20:S22 S27:S29 S34:S36 S41:S43 S6:S8 S48:S50 S55:S57 S62:S64 AQ6:AQ8 G69:G71 G20:G22 K69:K71 G27:G29 G34:G36 G41:G43 AY55:AY57 K34:K36 G6:G8 G48:G50 G55:G57 K41:K43 AA6:AA8 G62:G64 K48:K50 K55:K57 K62:K64 W13:W15 W69:W71 W20:W22 W27:W29 W34:W36 W41:W43 W6:W8 W48:W50 W55:W57 W62:W64 C27:C29 AU6:AU8 AM6:AM8 G13:G15 AA55:AA57 AA48:AA50 AI62:AI64 AI13:AI15 C20:C22 AY62:AY64 AA69:AA71 AY69:AY71 AA62:AA64 AY48:AY50 AY41:AY43 AY34:AY36 AY27:AY29 AY13:AY15 AA27:AA29 AI20:AI22 C41:C43 AI48:AI50 AE6:AE8 AM55:AM57 AM48:AM50 AM41:AM43 AM34:AM36 AM27:AM29 AM20:AM22 AM69:AM71 AM13:AM15 AM62:AM64 AA34:AA36 AQ55:AQ57 AQ48:AQ50 AQ41:AQ43 AQ34:AQ36 AQ27:AQ29 AQ20:AQ22 AQ69:AQ71 AQ13:AQ15 AQ62:AQ64 AY6:AY8 AU55:AU57 AU48:AU50 AU41:AU43 AU34:AU36 AU27:AU29 AU20:AU22 AU69:AU71 AU13:AU15 AI6:AI8 AI55:AI57 AI41:AI43 AI34:AI36 AI27:AI29 AA13:AA15 K13:K15 K20:K22 K6:K8 K27:K29">
      <formula1>"NULL, CPU0 loading(%), Wifi usage(Kb/s), &lt; Mobile usage(Kb/s), EXIT, mtktscpu, mtktsabb, mtktspmic, mtktsbattery, mtktspa, mtktswmt, mtktsAP, mtktsbuck, mtktsbattery2, mtktsxtal"</formula1>
    </dataValidation>
    <dataValidation type="list" allowBlank="1" showInputMessage="1" showErrorMessage="1" sqref="AE1">
      <formula1>'[2]6755_tz'!A2:A97</formula1>
    </dataValidation>
    <dataValidation type="list" allowBlank="1" showInputMessage="1" sqref="AE5">
      <formula1>'[2]6755_coolers'!A2:A134</formula1>
    </dataValidation>
    <dataValidation type="list" allowBlank="1" showInputMessage="1" sqref="AA5">
      <formula1>'[3]6755_coolers'!A2:A134</formula1>
    </dataValidation>
    <dataValidation type="list" allowBlank="1" showInputMessage="1" showErrorMessage="1" sqref="C13:C15 AA20:AA22">
      <formula1>"NULL, CPU0 loading(%), Wifi usage(Kb/s), EXIT, mtktscpu, mtktsabb, mtktspmic, mtktsbattery, mtktspa, mtktswmt, mtktsAP, mtktsbuck, mtktsbattery2, mtktsxtal"</formula1>
    </dataValidation>
    <dataValidation type="list" allowBlank="1" showInputMessage="1" sqref="C12">
      <formula1>'[4]6755_coolers'!A2:A134</formula1>
    </dataValidation>
    <dataValidation type="list" allowBlank="1" showInputMessage="1" sqref="AA19">
      <formula1>'[1]6735_coolers'!A2:A134</formula1>
    </dataValidation>
  </dataValidations>
  <pageMargins left="0.7" right="0.7" top="0.75" bottom="0.75" header="0.3" footer="0.3"/>
  <pageSetup paperSize="9" orientation="portrait" r:id="rId1"/>
  <legacyDrawing r:id="rId2"/>
</worksheet>
</file>

<file path=xl/worksheets/sheet11.xml><?xml version="1.0" encoding="utf-8"?>
<worksheet xmlns="http://schemas.openxmlformats.org/spreadsheetml/2006/main" xmlns:r="http://schemas.openxmlformats.org/officeDocument/2006/relationships">
  <sheetPr codeName="Sheet82">
    <tabColor rgb="FFFF0000"/>
  </sheetPr>
  <dimension ref="A1:BA124"/>
  <sheetViews>
    <sheetView zoomScale="90" zoomScaleNormal="90" workbookViewId="0">
      <selection activeCell="K1" sqref="K1:L29"/>
    </sheetView>
  </sheetViews>
  <sheetFormatPr defaultRowHeight="14.2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9.140625" style="7"/>
    <col min="54" max="16384" width="9.140625" style="1"/>
  </cols>
  <sheetData>
    <row r="1" spans="1:53" ht="57.75" customHeight="1">
      <c r="A1" s="1" t="s">
        <v>182</v>
      </c>
      <c r="B1" s="2" t="s">
        <v>35</v>
      </c>
      <c r="C1" s="3" t="s">
        <v>23</v>
      </c>
      <c r="D1" s="4" t="s">
        <v>36</v>
      </c>
      <c r="E1" s="5"/>
      <c r="F1" s="2" t="s">
        <v>35</v>
      </c>
      <c r="G1" s="3" t="s">
        <v>24</v>
      </c>
      <c r="H1" s="4" t="s">
        <v>36</v>
      </c>
      <c r="I1" s="5"/>
      <c r="J1" s="2" t="s">
        <v>35</v>
      </c>
      <c r="K1" s="3" t="s">
        <v>25</v>
      </c>
      <c r="L1" s="4" t="s">
        <v>36</v>
      </c>
      <c r="M1" s="6"/>
      <c r="N1" s="2" t="s">
        <v>35</v>
      </c>
      <c r="O1" s="3" t="s">
        <v>26</v>
      </c>
      <c r="P1" s="4" t="s">
        <v>36</v>
      </c>
      <c r="Q1" s="6"/>
      <c r="R1" s="2" t="s">
        <v>35</v>
      </c>
      <c r="S1" s="3" t="s">
        <v>34</v>
      </c>
      <c r="T1" s="4" t="s">
        <v>36</v>
      </c>
      <c r="U1" s="6"/>
      <c r="V1" s="2" t="s">
        <v>35</v>
      </c>
      <c r="W1" s="3" t="s">
        <v>27</v>
      </c>
      <c r="X1" s="4" t="s">
        <v>36</v>
      </c>
      <c r="Y1" s="6"/>
      <c r="Z1" s="2" t="s">
        <v>35</v>
      </c>
      <c r="AA1" s="3" t="s">
        <v>68</v>
      </c>
      <c r="AB1" s="4" t="s">
        <v>36</v>
      </c>
      <c r="AC1" s="6"/>
      <c r="AD1" s="2" t="s">
        <v>35</v>
      </c>
      <c r="AE1" s="3" t="s">
        <v>69</v>
      </c>
      <c r="AF1" s="4" t="s">
        <v>36</v>
      </c>
      <c r="AG1" s="6"/>
      <c r="AH1" s="2" t="s">
        <v>35</v>
      </c>
      <c r="AI1" s="3" t="s">
        <v>132</v>
      </c>
      <c r="AJ1" s="4" t="s">
        <v>36</v>
      </c>
      <c r="AK1" s="6"/>
      <c r="AL1" s="2" t="s">
        <v>35</v>
      </c>
      <c r="AM1" s="3" t="s">
        <v>128</v>
      </c>
      <c r="AN1" s="4" t="s">
        <v>36</v>
      </c>
      <c r="AO1" s="6"/>
      <c r="AP1" s="2" t="s">
        <v>35</v>
      </c>
      <c r="AQ1" s="3" t="s">
        <v>233</v>
      </c>
      <c r="AR1" s="4" t="s">
        <v>36</v>
      </c>
      <c r="AS1" s="6"/>
      <c r="AT1" s="2" t="s">
        <v>35</v>
      </c>
      <c r="AU1" s="3" t="s">
        <v>234</v>
      </c>
      <c r="AV1" s="4" t="s">
        <v>36</v>
      </c>
      <c r="AW1" s="6"/>
      <c r="AX1" s="2" t="s">
        <v>35</v>
      </c>
      <c r="AY1" s="3" t="s">
        <v>129</v>
      </c>
      <c r="AZ1" s="4" t="s">
        <v>36</v>
      </c>
      <c r="BA1" s="51"/>
    </row>
    <row r="2" spans="1:53" ht="30.75" customHeight="1">
      <c r="B2" s="2" t="s">
        <v>9</v>
      </c>
      <c r="C2" s="3">
        <v>2</v>
      </c>
      <c r="D2" s="8"/>
      <c r="E2" s="9"/>
      <c r="F2" s="2" t="s">
        <v>9</v>
      </c>
      <c r="G2" s="3">
        <v>1</v>
      </c>
      <c r="H2" s="8"/>
      <c r="I2" s="10"/>
      <c r="J2" s="2" t="s">
        <v>9</v>
      </c>
      <c r="K2" s="3">
        <v>1</v>
      </c>
      <c r="L2" s="8"/>
      <c r="M2" s="10"/>
      <c r="N2" s="2" t="s">
        <v>9</v>
      </c>
      <c r="O2" s="3">
        <v>1</v>
      </c>
      <c r="P2" s="8"/>
      <c r="Q2" s="10"/>
      <c r="R2" s="2" t="s">
        <v>9</v>
      </c>
      <c r="S2" s="3">
        <v>1</v>
      </c>
      <c r="T2" s="8"/>
      <c r="U2" s="10"/>
      <c r="V2" s="2" t="s">
        <v>9</v>
      </c>
      <c r="W2" s="3">
        <v>1</v>
      </c>
      <c r="X2" s="8"/>
      <c r="Y2" s="10"/>
      <c r="Z2" s="2" t="s">
        <v>9</v>
      </c>
      <c r="AA2" s="3">
        <v>6</v>
      </c>
      <c r="AB2" s="8"/>
      <c r="AC2" s="10"/>
      <c r="AD2" s="2" t="s">
        <v>9</v>
      </c>
      <c r="AE2" s="3">
        <v>1</v>
      </c>
      <c r="AF2" s="8"/>
      <c r="AG2" s="10"/>
      <c r="AH2" s="2" t="s">
        <v>9</v>
      </c>
      <c r="AI2" s="3">
        <v>7</v>
      </c>
      <c r="AJ2" s="46"/>
      <c r="AK2" s="10"/>
      <c r="AL2" s="2" t="s">
        <v>9</v>
      </c>
      <c r="AM2" s="3">
        <v>0</v>
      </c>
      <c r="AN2" s="8"/>
      <c r="AO2" s="10"/>
      <c r="AP2" s="2" t="s">
        <v>9</v>
      </c>
      <c r="AQ2" s="3">
        <v>0</v>
      </c>
      <c r="AR2" s="8"/>
      <c r="AS2" s="10"/>
      <c r="AT2" s="2" t="s">
        <v>9</v>
      </c>
      <c r="AU2" s="3">
        <v>0</v>
      </c>
      <c r="AV2" s="8"/>
      <c r="AW2" s="10"/>
      <c r="AX2" s="2" t="s">
        <v>9</v>
      </c>
      <c r="AY2" s="3">
        <v>0</v>
      </c>
      <c r="AZ2" s="8"/>
      <c r="BA2" s="51"/>
    </row>
    <row r="3" spans="1:53" ht="15" customHeight="1">
      <c r="A3" s="11"/>
      <c r="B3" s="12" t="s">
        <v>7</v>
      </c>
      <c r="C3" s="13">
        <v>117000</v>
      </c>
      <c r="D3" s="14"/>
      <c r="E3" s="9"/>
      <c r="F3" s="12" t="s">
        <v>7</v>
      </c>
      <c r="G3" s="13">
        <v>145000</v>
      </c>
      <c r="H3" s="14"/>
      <c r="I3" s="10"/>
      <c r="J3" s="12" t="s">
        <v>7</v>
      </c>
      <c r="K3" s="13">
        <v>60000</v>
      </c>
      <c r="L3" s="14"/>
      <c r="M3" s="10"/>
      <c r="N3" s="12" t="s">
        <v>7</v>
      </c>
      <c r="O3" s="13">
        <v>120000</v>
      </c>
      <c r="P3" s="14"/>
      <c r="Q3" s="10"/>
      <c r="R3" s="12" t="s">
        <v>7</v>
      </c>
      <c r="S3" s="13">
        <v>117000</v>
      </c>
      <c r="T3" s="14"/>
      <c r="U3" s="10"/>
      <c r="V3" s="12" t="s">
        <v>7</v>
      </c>
      <c r="W3" s="13">
        <v>120000</v>
      </c>
      <c r="X3" s="14"/>
      <c r="Y3" s="10"/>
      <c r="Z3" s="12" t="s">
        <v>7</v>
      </c>
      <c r="AA3" s="13">
        <v>100000</v>
      </c>
      <c r="AB3" s="14"/>
      <c r="AC3" s="10"/>
      <c r="AD3" s="12" t="s">
        <v>7</v>
      </c>
      <c r="AE3" s="13">
        <v>120000</v>
      </c>
      <c r="AF3" s="14"/>
      <c r="AG3" s="10"/>
      <c r="AH3" s="12" t="s">
        <v>7</v>
      </c>
      <c r="AI3" s="13">
        <v>120000</v>
      </c>
      <c r="AJ3" s="43"/>
      <c r="AK3" s="10"/>
      <c r="AL3" s="12" t="s">
        <v>7</v>
      </c>
      <c r="AM3" s="13">
        <v>0</v>
      </c>
      <c r="AN3" s="14"/>
      <c r="AO3" s="10"/>
      <c r="AP3" s="12" t="s">
        <v>7</v>
      </c>
      <c r="AQ3" s="13">
        <v>0</v>
      </c>
      <c r="AR3" s="14"/>
      <c r="AS3" s="10"/>
      <c r="AT3" s="12" t="s">
        <v>7</v>
      </c>
      <c r="AU3" s="13">
        <v>0</v>
      </c>
      <c r="AV3" s="14"/>
      <c r="AW3" s="10"/>
      <c r="AX3" s="12" t="s">
        <v>7</v>
      </c>
      <c r="AY3" s="13">
        <v>0</v>
      </c>
      <c r="AZ3" s="14"/>
      <c r="BA3" s="51"/>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15">
        <v>0</v>
      </c>
      <c r="AJ4" s="43"/>
      <c r="AK4" s="10"/>
      <c r="AL4" s="12" t="s">
        <v>6</v>
      </c>
      <c r="AM4" s="15">
        <v>0</v>
      </c>
      <c r="AN4" s="14"/>
      <c r="AO4" s="10"/>
      <c r="AP4" s="12" t="s">
        <v>6</v>
      </c>
      <c r="AQ4" s="15">
        <v>0</v>
      </c>
      <c r="AR4" s="14"/>
      <c r="AS4" s="10"/>
      <c r="AT4" s="12" t="s">
        <v>6</v>
      </c>
      <c r="AU4" s="15">
        <v>0</v>
      </c>
      <c r="AV4" s="14"/>
      <c r="AW4" s="10"/>
      <c r="AX4" s="12" t="s">
        <v>6</v>
      </c>
      <c r="AY4" s="15">
        <v>0</v>
      </c>
      <c r="AZ4" s="14"/>
      <c r="BA4" s="51"/>
    </row>
    <row r="5" spans="1:53" ht="15" customHeight="1">
      <c r="A5" s="11"/>
      <c r="B5" s="12" t="s">
        <v>5</v>
      </c>
      <c r="C5" s="13" t="s">
        <v>15</v>
      </c>
      <c r="D5" s="14"/>
      <c r="E5" s="9"/>
      <c r="F5" s="12" t="s">
        <v>5</v>
      </c>
      <c r="G5" s="13" t="s">
        <v>1</v>
      </c>
      <c r="H5" s="14"/>
      <c r="I5" s="10"/>
      <c r="J5" s="12" t="s">
        <v>5</v>
      </c>
      <c r="K5" s="13" t="s">
        <v>2</v>
      </c>
      <c r="L5" s="14"/>
      <c r="M5" s="10"/>
      <c r="N5" s="12" t="s">
        <v>5</v>
      </c>
      <c r="O5" s="13" t="s">
        <v>3</v>
      </c>
      <c r="P5" s="14"/>
      <c r="Q5" s="10"/>
      <c r="R5" s="12" t="s">
        <v>5</v>
      </c>
      <c r="S5" s="13" t="s">
        <v>0</v>
      </c>
      <c r="T5" s="14"/>
      <c r="U5" s="10"/>
      <c r="V5" s="12" t="s">
        <v>5</v>
      </c>
      <c r="W5" s="13" t="s">
        <v>16</v>
      </c>
      <c r="X5" s="14"/>
      <c r="Y5" s="10"/>
      <c r="Z5" s="12" t="s">
        <v>5</v>
      </c>
      <c r="AA5" s="13" t="s">
        <v>17</v>
      </c>
      <c r="AB5" s="14"/>
      <c r="AC5" s="10"/>
      <c r="AD5" s="12" t="s">
        <v>5</v>
      </c>
      <c r="AE5" s="13" t="s">
        <v>108</v>
      </c>
      <c r="AF5" s="14"/>
      <c r="AG5" s="10"/>
      <c r="AH5" s="12" t="s">
        <v>5</v>
      </c>
      <c r="AI5" s="13" t="s">
        <v>108</v>
      </c>
      <c r="AJ5" s="43"/>
      <c r="AK5" s="10"/>
      <c r="AL5" s="12" t="s">
        <v>5</v>
      </c>
      <c r="AM5" s="13" t="s">
        <v>4</v>
      </c>
      <c r="AN5" s="14"/>
      <c r="AO5" s="10"/>
      <c r="AP5" s="12" t="s">
        <v>5</v>
      </c>
      <c r="AQ5" s="13" t="s">
        <v>4</v>
      </c>
      <c r="AR5" s="14"/>
      <c r="AS5" s="10"/>
      <c r="AT5" s="12" t="s">
        <v>5</v>
      </c>
      <c r="AU5" s="13" t="s">
        <v>4</v>
      </c>
      <c r="AV5" s="14"/>
      <c r="AW5" s="10"/>
      <c r="AX5" s="12" t="s">
        <v>5</v>
      </c>
      <c r="AY5" s="13" t="s">
        <v>4</v>
      </c>
      <c r="AZ5" s="14"/>
      <c r="BA5" s="51"/>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4">
        <v>0</v>
      </c>
      <c r="AG6" s="10"/>
      <c r="AH6" s="12" t="s">
        <v>11</v>
      </c>
      <c r="AI6" s="15" t="s">
        <v>13</v>
      </c>
      <c r="AJ6" s="15">
        <v>0</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s="51"/>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s="51"/>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s="51"/>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s="51"/>
    </row>
    <row r="10" spans="1:53" ht="15" customHeight="1">
      <c r="A10" s="11"/>
      <c r="B10" s="12" t="s">
        <v>7</v>
      </c>
      <c r="C10" s="44">
        <v>68000</v>
      </c>
      <c r="D10" s="14"/>
      <c r="E10" s="10"/>
      <c r="F10" s="12" t="s">
        <v>7</v>
      </c>
      <c r="G10" s="13">
        <v>0</v>
      </c>
      <c r="H10" s="14"/>
      <c r="I10" s="10"/>
      <c r="J10" s="12" t="s">
        <v>7</v>
      </c>
      <c r="K10" s="13">
        <v>0</v>
      </c>
      <c r="L10" s="14"/>
      <c r="M10" s="10"/>
      <c r="N10" s="12" t="s">
        <v>7</v>
      </c>
      <c r="O10" s="13">
        <v>0</v>
      </c>
      <c r="P10" s="14"/>
      <c r="Q10" s="10"/>
      <c r="R10" s="12" t="s">
        <v>7</v>
      </c>
      <c r="S10" s="13">
        <v>0</v>
      </c>
      <c r="T10" s="14"/>
      <c r="U10" s="10"/>
      <c r="V10" s="12" t="s">
        <v>7</v>
      </c>
      <c r="W10" s="13">
        <v>0</v>
      </c>
      <c r="X10" s="14"/>
      <c r="Y10" s="10"/>
      <c r="Z10" s="12" t="s">
        <v>7</v>
      </c>
      <c r="AA10" s="50">
        <v>90000</v>
      </c>
      <c r="AB10" s="14"/>
      <c r="AC10" s="10"/>
      <c r="AD10" s="12" t="s">
        <v>7</v>
      </c>
      <c r="AE10" s="13">
        <v>0</v>
      </c>
      <c r="AF10" s="14"/>
      <c r="AG10" s="10"/>
      <c r="AH10" s="12" t="s">
        <v>7</v>
      </c>
      <c r="AI10" s="44">
        <v>85000</v>
      </c>
      <c r="AJ10" s="14"/>
      <c r="AK10" s="10"/>
      <c r="AL10" s="12" t="s">
        <v>7</v>
      </c>
      <c r="AM10" s="13">
        <v>0</v>
      </c>
      <c r="AN10" s="14"/>
      <c r="AO10" s="10"/>
      <c r="AP10" s="12" t="s">
        <v>7</v>
      </c>
      <c r="AQ10" s="13">
        <v>0</v>
      </c>
      <c r="AR10" s="14"/>
      <c r="AS10" s="10"/>
      <c r="AT10" s="12" t="s">
        <v>7</v>
      </c>
      <c r="AU10" s="13">
        <v>0</v>
      </c>
      <c r="AV10" s="14"/>
      <c r="AW10" s="10"/>
      <c r="AX10" s="12" t="s">
        <v>7</v>
      </c>
      <c r="AY10" s="13">
        <v>0</v>
      </c>
      <c r="AZ10" s="14"/>
      <c r="BA10" s="51"/>
    </row>
    <row r="11" spans="1:53" ht="15" customHeight="1">
      <c r="A11" s="11"/>
      <c r="B11" s="12" t="s">
        <v>6</v>
      </c>
      <c r="C11" s="15">
        <v>0</v>
      </c>
      <c r="D11" s="14"/>
      <c r="E11" s="10"/>
      <c r="F11" s="12" t="s">
        <v>6</v>
      </c>
      <c r="G11" s="15">
        <v>0</v>
      </c>
      <c r="H11" s="14"/>
      <c r="I11" s="10"/>
      <c r="J11" s="12" t="s">
        <v>6</v>
      </c>
      <c r="K11" s="15">
        <v>0</v>
      </c>
      <c r="L11" s="14"/>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15">
        <v>0</v>
      </c>
      <c r="AJ11" s="14"/>
      <c r="AK11" s="10"/>
      <c r="AL11" s="12" t="s">
        <v>6</v>
      </c>
      <c r="AM11" s="15">
        <v>0</v>
      </c>
      <c r="AN11" s="14"/>
      <c r="AO11" s="10"/>
      <c r="AP11" s="12" t="s">
        <v>6</v>
      </c>
      <c r="AQ11" s="15">
        <v>0</v>
      </c>
      <c r="AR11" s="14"/>
      <c r="AS11" s="10"/>
      <c r="AT11" s="12" t="s">
        <v>6</v>
      </c>
      <c r="AU11" s="15">
        <v>0</v>
      </c>
      <c r="AV11" s="14"/>
      <c r="AW11" s="10"/>
      <c r="AX11" s="12" t="s">
        <v>6</v>
      </c>
      <c r="AY11" s="15">
        <v>0</v>
      </c>
      <c r="AZ11" s="14"/>
      <c r="BA11" s="51"/>
    </row>
    <row r="12" spans="1:53" ht="15" customHeight="1">
      <c r="A12" s="11"/>
      <c r="B12" s="12" t="s">
        <v>5</v>
      </c>
      <c r="C12" s="13" t="s">
        <v>51</v>
      </c>
      <c r="D12" s="14"/>
      <c r="E12" s="10"/>
      <c r="F12" s="12" t="s">
        <v>5</v>
      </c>
      <c r="G12" s="13" t="s">
        <v>4</v>
      </c>
      <c r="H12" s="14"/>
      <c r="I12" s="10"/>
      <c r="J12" s="12" t="s">
        <v>5</v>
      </c>
      <c r="K12" s="13" t="s">
        <v>4</v>
      </c>
      <c r="L12" s="14"/>
      <c r="M12" s="10"/>
      <c r="N12" s="12" t="s">
        <v>5</v>
      </c>
      <c r="O12" s="13" t="s">
        <v>4</v>
      </c>
      <c r="P12" s="14"/>
      <c r="Q12" s="10"/>
      <c r="R12" s="12" t="s">
        <v>5</v>
      </c>
      <c r="S12" s="13" t="s">
        <v>4</v>
      </c>
      <c r="T12" s="14"/>
      <c r="U12" s="10"/>
      <c r="V12" s="12" t="s">
        <v>5</v>
      </c>
      <c r="W12" s="13" t="s">
        <v>4</v>
      </c>
      <c r="X12" s="14"/>
      <c r="Y12" s="10"/>
      <c r="Z12" s="12" t="s">
        <v>5</v>
      </c>
      <c r="AA12" s="50" t="s">
        <v>107</v>
      </c>
      <c r="AB12" s="14"/>
      <c r="AC12" s="10"/>
      <c r="AD12" s="12" t="s">
        <v>5</v>
      </c>
      <c r="AE12" s="13" t="s">
        <v>4</v>
      </c>
      <c r="AF12" s="14"/>
      <c r="AG12" s="10"/>
      <c r="AH12" s="12" t="s">
        <v>5</v>
      </c>
      <c r="AI12" s="54" t="s">
        <v>253</v>
      </c>
      <c r="AJ12" s="14"/>
      <c r="AK12" s="10"/>
      <c r="AL12" s="12" t="s">
        <v>5</v>
      </c>
      <c r="AM12" s="13" t="s">
        <v>4</v>
      </c>
      <c r="AN12" s="14"/>
      <c r="AO12" s="10"/>
      <c r="AP12" s="12" t="s">
        <v>5</v>
      </c>
      <c r="AQ12" s="13" t="s">
        <v>4</v>
      </c>
      <c r="AR12" s="14"/>
      <c r="AS12" s="10"/>
      <c r="AT12" s="12" t="s">
        <v>5</v>
      </c>
      <c r="AU12" s="13" t="s">
        <v>4</v>
      </c>
      <c r="AV12" s="14"/>
      <c r="AW12" s="10"/>
      <c r="AX12" s="12" t="s">
        <v>5</v>
      </c>
      <c r="AY12" s="13" t="s">
        <v>4</v>
      </c>
      <c r="AZ12" s="14"/>
      <c r="BA12" s="51"/>
    </row>
    <row r="13" spans="1:53" ht="15" customHeight="1">
      <c r="A13" s="11"/>
      <c r="B13" s="12" t="s">
        <v>11</v>
      </c>
      <c r="C13" s="15" t="s">
        <v>131</v>
      </c>
      <c r="D13" s="14">
        <v>6000</v>
      </c>
      <c r="E13" s="9"/>
      <c r="F13" s="12" t="s">
        <v>11</v>
      </c>
      <c r="G13" s="15" t="s">
        <v>13</v>
      </c>
      <c r="H13" s="14">
        <v>0</v>
      </c>
      <c r="I13" s="10"/>
      <c r="J13" s="12" t="s">
        <v>11</v>
      </c>
      <c r="K13" s="15" t="s">
        <v>13</v>
      </c>
      <c r="L13" s="14">
        <v>0</v>
      </c>
      <c r="M13" s="10"/>
      <c r="N13" s="12" t="s">
        <v>11</v>
      </c>
      <c r="O13" s="15" t="s">
        <v>13</v>
      </c>
      <c r="P13" s="14">
        <v>0</v>
      </c>
      <c r="Q13" s="10"/>
      <c r="R13" s="12" t="s">
        <v>11</v>
      </c>
      <c r="S13" s="15" t="s">
        <v>13</v>
      </c>
      <c r="T13" s="14">
        <v>0</v>
      </c>
      <c r="U13" s="10"/>
      <c r="V13" s="12" t="s">
        <v>11</v>
      </c>
      <c r="W13" s="15" t="s">
        <v>13</v>
      </c>
      <c r="X13" s="14">
        <v>0</v>
      </c>
      <c r="Y13" s="10"/>
      <c r="Z13" s="12" t="s">
        <v>11</v>
      </c>
      <c r="AA13" s="15" t="s">
        <v>13</v>
      </c>
      <c r="AB13" s="14">
        <v>0</v>
      </c>
      <c r="AC13" s="10"/>
      <c r="AD13" s="12" t="s">
        <v>11</v>
      </c>
      <c r="AE13" s="15" t="s">
        <v>13</v>
      </c>
      <c r="AF13" s="14">
        <v>0</v>
      </c>
      <c r="AG13" s="10"/>
      <c r="AH13" s="12" t="s">
        <v>11</v>
      </c>
      <c r="AI13" s="54" t="s">
        <v>131</v>
      </c>
      <c r="AJ13" s="55">
        <v>2000</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s="51"/>
    </row>
    <row r="14" spans="1:53" ht="15" customHeight="1">
      <c r="A14" s="11"/>
      <c r="B14" s="12" t="s">
        <v>12</v>
      </c>
      <c r="C14" s="15" t="s">
        <v>13</v>
      </c>
      <c r="D14" s="14">
        <v>0</v>
      </c>
      <c r="E14" s="9"/>
      <c r="F14" s="12" t="s">
        <v>12</v>
      </c>
      <c r="G14" s="15" t="s">
        <v>13</v>
      </c>
      <c r="H14" s="14">
        <v>0</v>
      </c>
      <c r="I14" s="10"/>
      <c r="J14" s="12" t="s">
        <v>12</v>
      </c>
      <c r="K14" s="15" t="s">
        <v>13</v>
      </c>
      <c r="L14" s="14">
        <v>0</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6">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s="51"/>
    </row>
    <row r="15" spans="1:53" ht="15" customHeight="1">
      <c r="A15" s="11"/>
      <c r="B15" s="12" t="s">
        <v>14</v>
      </c>
      <c r="C15" s="15" t="s">
        <v>13</v>
      </c>
      <c r="D15" s="14">
        <v>0</v>
      </c>
      <c r="E15" s="9"/>
      <c r="F15" s="12" t="s">
        <v>14</v>
      </c>
      <c r="G15" s="15" t="s">
        <v>13</v>
      </c>
      <c r="H15" s="14">
        <v>0</v>
      </c>
      <c r="I15" s="10"/>
      <c r="J15" s="12" t="s">
        <v>14</v>
      </c>
      <c r="K15" s="15" t="s">
        <v>13</v>
      </c>
      <c r="L15" s="14">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s="51"/>
    </row>
    <row r="16" spans="1:53" s="20" customFormat="1" ht="5.0999999999999996" customHeight="1">
      <c r="A16" s="17"/>
      <c r="B16" s="18"/>
      <c r="C16" s="18"/>
      <c r="D16" s="18"/>
      <c r="E16" s="19"/>
      <c r="F16" s="18"/>
      <c r="G16" s="18"/>
      <c r="H16" s="18"/>
      <c r="I16" s="19"/>
      <c r="J16" s="18"/>
      <c r="K16" s="56"/>
      <c r="L16" s="56"/>
      <c r="M16" s="19"/>
      <c r="N16" s="18"/>
      <c r="O16" s="18"/>
      <c r="P16" s="18"/>
      <c r="Q16" s="19"/>
      <c r="R16" s="18"/>
      <c r="S16" s="18"/>
      <c r="T16" s="18"/>
      <c r="U16" s="19"/>
      <c r="V16" s="18"/>
      <c r="W16" s="18"/>
      <c r="X16" s="18"/>
      <c r="Y16" s="19"/>
      <c r="Z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s="51"/>
    </row>
    <row r="17" spans="1:53" ht="15" customHeight="1">
      <c r="A17" s="11"/>
      <c r="B17" s="12" t="s">
        <v>7</v>
      </c>
      <c r="C17" s="13">
        <v>0</v>
      </c>
      <c r="D17" s="14"/>
      <c r="E17" s="10"/>
      <c r="F17" s="12" t="s">
        <v>7</v>
      </c>
      <c r="G17" s="13">
        <v>0</v>
      </c>
      <c r="H17" s="14"/>
      <c r="I17" s="10"/>
      <c r="J17" s="12" t="s">
        <v>7</v>
      </c>
      <c r="K17" s="13">
        <v>0</v>
      </c>
      <c r="L17" s="14"/>
      <c r="M17" s="10"/>
      <c r="N17" s="12" t="s">
        <v>7</v>
      </c>
      <c r="O17" s="13">
        <v>0</v>
      </c>
      <c r="P17" s="14"/>
      <c r="Q17" s="10"/>
      <c r="R17" s="12" t="s">
        <v>7</v>
      </c>
      <c r="S17" s="13">
        <v>0</v>
      </c>
      <c r="T17" s="14"/>
      <c r="U17" s="10"/>
      <c r="V17" s="12" t="s">
        <v>7</v>
      </c>
      <c r="W17" s="13">
        <v>0</v>
      </c>
      <c r="X17" s="14"/>
      <c r="Y17" s="10"/>
      <c r="Z17" s="12" t="s">
        <v>7</v>
      </c>
      <c r="AA17" s="58">
        <v>57000</v>
      </c>
      <c r="AB17" s="14"/>
      <c r="AC17" s="10"/>
      <c r="AD17" s="12" t="s">
        <v>7</v>
      </c>
      <c r="AE17" s="13">
        <v>0</v>
      </c>
      <c r="AF17" s="14"/>
      <c r="AG17" s="10"/>
      <c r="AH17" s="12" t="s">
        <v>7</v>
      </c>
      <c r="AI17" s="54">
        <v>75000</v>
      </c>
      <c r="AJ17" s="14"/>
      <c r="AK17" s="10"/>
      <c r="AL17" s="12" t="s">
        <v>7</v>
      </c>
      <c r="AM17" s="13">
        <v>0</v>
      </c>
      <c r="AN17" s="14"/>
      <c r="AO17" s="10"/>
      <c r="AP17" s="12" t="s">
        <v>7</v>
      </c>
      <c r="AQ17" s="13">
        <v>0</v>
      </c>
      <c r="AR17" s="14"/>
      <c r="AS17" s="10"/>
      <c r="AT17" s="12" t="s">
        <v>7</v>
      </c>
      <c r="AU17" s="13">
        <v>0</v>
      </c>
      <c r="AV17" s="14"/>
      <c r="AW17" s="10"/>
      <c r="AX17" s="12" t="s">
        <v>7</v>
      </c>
      <c r="AY17" s="13">
        <v>0</v>
      </c>
      <c r="AZ17" s="14"/>
      <c r="BA17" s="51"/>
    </row>
    <row r="18" spans="1:53" ht="15" customHeight="1">
      <c r="A18" s="11"/>
      <c r="B18" s="12" t="s">
        <v>6</v>
      </c>
      <c r="C18" s="15">
        <v>0</v>
      </c>
      <c r="D18" s="14"/>
      <c r="E18" s="10"/>
      <c r="F18" s="12" t="s">
        <v>6</v>
      </c>
      <c r="G18" s="15">
        <v>0</v>
      </c>
      <c r="H18" s="14"/>
      <c r="I18" s="10"/>
      <c r="J18" s="12" t="s">
        <v>6</v>
      </c>
      <c r="K18" s="15">
        <v>0</v>
      </c>
      <c r="L18" s="14"/>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15">
        <v>0</v>
      </c>
      <c r="AJ18" s="14"/>
      <c r="AK18" s="10"/>
      <c r="AL18" s="12" t="s">
        <v>6</v>
      </c>
      <c r="AM18" s="15">
        <v>0</v>
      </c>
      <c r="AN18" s="14"/>
      <c r="AO18" s="10"/>
      <c r="AP18" s="12" t="s">
        <v>6</v>
      </c>
      <c r="AQ18" s="15">
        <v>0</v>
      </c>
      <c r="AR18" s="14"/>
      <c r="AS18" s="10"/>
      <c r="AT18" s="12" t="s">
        <v>6</v>
      </c>
      <c r="AU18" s="15">
        <v>0</v>
      </c>
      <c r="AV18" s="14"/>
      <c r="AW18" s="10"/>
      <c r="AX18" s="12" t="s">
        <v>6</v>
      </c>
      <c r="AY18" s="15">
        <v>0</v>
      </c>
      <c r="AZ18" s="14"/>
      <c r="BA18" s="51"/>
    </row>
    <row r="19" spans="1:53" ht="15" customHeight="1">
      <c r="A19" s="11"/>
      <c r="B19" s="12" t="s">
        <v>5</v>
      </c>
      <c r="C19" s="13" t="s">
        <v>4</v>
      </c>
      <c r="D19" s="14"/>
      <c r="E19" s="10"/>
      <c r="F19" s="12" t="s">
        <v>5</v>
      </c>
      <c r="G19" s="13" t="s">
        <v>4</v>
      </c>
      <c r="H19" s="14"/>
      <c r="I19" s="10"/>
      <c r="J19" s="12" t="s">
        <v>5</v>
      </c>
      <c r="K19" s="13" t="s">
        <v>4</v>
      </c>
      <c r="L19" s="14"/>
      <c r="M19" s="10"/>
      <c r="N19" s="12" t="s">
        <v>5</v>
      </c>
      <c r="O19" s="13" t="s">
        <v>4</v>
      </c>
      <c r="P19" s="14"/>
      <c r="Q19" s="10"/>
      <c r="R19" s="12" t="s">
        <v>5</v>
      </c>
      <c r="S19" s="13" t="s">
        <v>4</v>
      </c>
      <c r="T19" s="14"/>
      <c r="U19" s="10"/>
      <c r="V19" s="12" t="s">
        <v>5</v>
      </c>
      <c r="W19" s="13" t="s">
        <v>4</v>
      </c>
      <c r="X19" s="14"/>
      <c r="Y19" s="10"/>
      <c r="Z19" s="12" t="s">
        <v>5</v>
      </c>
      <c r="AA19" s="58" t="s">
        <v>265</v>
      </c>
      <c r="AB19" s="14"/>
      <c r="AC19" s="10"/>
      <c r="AD19" s="12" t="s">
        <v>5</v>
      </c>
      <c r="AE19" s="13" t="s">
        <v>4</v>
      </c>
      <c r="AF19" s="14"/>
      <c r="AG19" s="10"/>
      <c r="AH19" s="12" t="s">
        <v>5</v>
      </c>
      <c r="AI19" s="54" t="s">
        <v>251</v>
      </c>
      <c r="AJ19" s="14"/>
      <c r="AK19" s="10"/>
      <c r="AL19" s="12" t="s">
        <v>5</v>
      </c>
      <c r="AM19" s="13" t="s">
        <v>4</v>
      </c>
      <c r="AN19" s="14"/>
      <c r="AO19" s="10"/>
      <c r="AP19" s="12" t="s">
        <v>5</v>
      </c>
      <c r="AQ19" s="13" t="s">
        <v>4</v>
      </c>
      <c r="AR19" s="14"/>
      <c r="AS19" s="10"/>
      <c r="AT19" s="12" t="s">
        <v>5</v>
      </c>
      <c r="AU19" s="13" t="s">
        <v>4</v>
      </c>
      <c r="AV19" s="14"/>
      <c r="AW19" s="10"/>
      <c r="AX19" s="12" t="s">
        <v>5</v>
      </c>
      <c r="AY19" s="13" t="s">
        <v>4</v>
      </c>
      <c r="AZ19" s="14"/>
      <c r="BA19" s="51"/>
    </row>
    <row r="20" spans="1:53" ht="15" customHeight="1">
      <c r="A20" s="11"/>
      <c r="B20" s="12" t="s">
        <v>11</v>
      </c>
      <c r="C20" s="15" t="s">
        <v>13</v>
      </c>
      <c r="D20" s="43">
        <v>0</v>
      </c>
      <c r="E20" s="9"/>
      <c r="F20" s="12" t="s">
        <v>11</v>
      </c>
      <c r="G20" s="15" t="s">
        <v>13</v>
      </c>
      <c r="H20" s="14">
        <v>0</v>
      </c>
      <c r="I20" s="10"/>
      <c r="J20" s="12" t="s">
        <v>11</v>
      </c>
      <c r="K20" s="15" t="s">
        <v>13</v>
      </c>
      <c r="L20" s="14">
        <v>0</v>
      </c>
      <c r="M20" s="10"/>
      <c r="N20" s="12" t="s">
        <v>11</v>
      </c>
      <c r="O20" s="15" t="s">
        <v>13</v>
      </c>
      <c r="P20" s="14">
        <v>0</v>
      </c>
      <c r="Q20" s="10"/>
      <c r="R20" s="12" t="s">
        <v>11</v>
      </c>
      <c r="S20" s="15" t="s">
        <v>13</v>
      </c>
      <c r="T20" s="14">
        <v>0</v>
      </c>
      <c r="U20" s="10"/>
      <c r="V20" s="12" t="s">
        <v>11</v>
      </c>
      <c r="W20" s="15" t="s">
        <v>13</v>
      </c>
      <c r="X20" s="14">
        <v>0</v>
      </c>
      <c r="Y20" s="10"/>
      <c r="Z20" s="12" t="s">
        <v>11</v>
      </c>
      <c r="AA20" s="59" t="s">
        <v>131</v>
      </c>
      <c r="AB20" s="60">
        <v>5000</v>
      </c>
      <c r="AC20" s="10"/>
      <c r="AD20" s="12" t="s">
        <v>11</v>
      </c>
      <c r="AE20" s="15" t="s">
        <v>13</v>
      </c>
      <c r="AF20" s="14">
        <v>0</v>
      </c>
      <c r="AG20" s="10"/>
      <c r="AH20" s="12" t="s">
        <v>11</v>
      </c>
      <c r="AI20" s="54" t="s">
        <v>131</v>
      </c>
      <c r="AJ20" s="55">
        <v>2000</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s="51"/>
    </row>
    <row r="21" spans="1:53" ht="15" customHeight="1">
      <c r="A21" s="11"/>
      <c r="B21" s="12" t="s">
        <v>12</v>
      </c>
      <c r="C21" s="15" t="s">
        <v>13</v>
      </c>
      <c r="D21" s="14">
        <v>0</v>
      </c>
      <c r="E21" s="9"/>
      <c r="F21" s="12" t="s">
        <v>12</v>
      </c>
      <c r="G21" s="15" t="s">
        <v>13</v>
      </c>
      <c r="H21" s="14">
        <v>0</v>
      </c>
      <c r="I21" s="10"/>
      <c r="J21" s="12" t="s">
        <v>12</v>
      </c>
      <c r="K21" s="15" t="s">
        <v>13</v>
      </c>
      <c r="L21" s="14">
        <v>0</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15" t="s">
        <v>13</v>
      </c>
      <c r="AJ21" s="55">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s="51"/>
    </row>
    <row r="22" spans="1:53" ht="15" customHeight="1">
      <c r="A22" s="11"/>
      <c r="B22" s="12" t="s">
        <v>14</v>
      </c>
      <c r="C22" s="15" t="s">
        <v>13</v>
      </c>
      <c r="D22" s="14">
        <v>0</v>
      </c>
      <c r="E22" s="9"/>
      <c r="F22" s="12" t="s">
        <v>14</v>
      </c>
      <c r="G22" s="15" t="s">
        <v>13</v>
      </c>
      <c r="H22" s="14">
        <v>0</v>
      </c>
      <c r="I22" s="10"/>
      <c r="J22" s="12" t="s">
        <v>14</v>
      </c>
      <c r="K22" s="15" t="s">
        <v>13</v>
      </c>
      <c r="L22" s="14">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15" t="s">
        <v>13</v>
      </c>
      <c r="AJ22" s="14">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s="51"/>
    </row>
    <row r="23" spans="1:53" s="20" customFormat="1" ht="5.0999999999999996" customHeight="1">
      <c r="A23" s="17"/>
      <c r="B23" s="18"/>
      <c r="C23" s="18"/>
      <c r="D23" s="18"/>
      <c r="E23" s="19"/>
      <c r="F23" s="18"/>
      <c r="G23" s="18"/>
      <c r="H23" s="18"/>
      <c r="I23" s="19"/>
      <c r="J23" s="18"/>
      <c r="K23" s="56"/>
      <c r="L23" s="56"/>
      <c r="M23" s="19"/>
      <c r="N23" s="18"/>
      <c r="O23" s="18"/>
      <c r="P23" s="18"/>
      <c r="Q23" s="19"/>
      <c r="R23" s="18"/>
      <c r="S23" s="18"/>
      <c r="T23" s="18"/>
      <c r="U23" s="19"/>
      <c r="V23" s="18"/>
      <c r="W23" s="18"/>
      <c r="X23" s="18"/>
      <c r="Y23" s="19"/>
      <c r="Z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s="51"/>
    </row>
    <row r="24" spans="1:53" ht="15" customHeight="1">
      <c r="A24" s="11"/>
      <c r="B24" s="12" t="s">
        <v>7</v>
      </c>
      <c r="C24" s="13">
        <v>0</v>
      </c>
      <c r="D24" s="14"/>
      <c r="E24" s="10"/>
      <c r="F24" s="12" t="s">
        <v>7</v>
      </c>
      <c r="G24" s="13">
        <v>0</v>
      </c>
      <c r="H24" s="14"/>
      <c r="I24" s="10"/>
      <c r="J24" s="12" t="s">
        <v>7</v>
      </c>
      <c r="K24" s="13">
        <v>0</v>
      </c>
      <c r="L24" s="14"/>
      <c r="M24" s="10"/>
      <c r="N24" s="12" t="s">
        <v>7</v>
      </c>
      <c r="O24" s="13">
        <v>0</v>
      </c>
      <c r="P24" s="14"/>
      <c r="Q24" s="10"/>
      <c r="R24" s="12" t="s">
        <v>7</v>
      </c>
      <c r="S24" s="13">
        <v>0</v>
      </c>
      <c r="T24" s="14"/>
      <c r="U24" s="10"/>
      <c r="V24" s="12" t="s">
        <v>7</v>
      </c>
      <c r="W24" s="13">
        <v>0</v>
      </c>
      <c r="X24" s="14"/>
      <c r="Y24" s="10"/>
      <c r="Z24" s="12" t="s">
        <v>7</v>
      </c>
      <c r="AA24" s="44">
        <v>50000</v>
      </c>
      <c r="AB24" s="43"/>
      <c r="AC24" s="10"/>
      <c r="AD24" s="12" t="s">
        <v>7</v>
      </c>
      <c r="AE24" s="13">
        <v>0</v>
      </c>
      <c r="AF24" s="14"/>
      <c r="AG24" s="10"/>
      <c r="AH24" s="12" t="s">
        <v>7</v>
      </c>
      <c r="AI24" s="54">
        <v>72000</v>
      </c>
      <c r="AJ24" s="14"/>
      <c r="AK24" s="10"/>
      <c r="AL24" s="12" t="s">
        <v>7</v>
      </c>
      <c r="AM24" s="13">
        <v>0</v>
      </c>
      <c r="AN24" s="14"/>
      <c r="AO24" s="10"/>
      <c r="AP24" s="12" t="s">
        <v>7</v>
      </c>
      <c r="AQ24" s="13">
        <v>0</v>
      </c>
      <c r="AR24" s="14"/>
      <c r="AS24" s="10"/>
      <c r="AT24" s="12" t="s">
        <v>7</v>
      </c>
      <c r="AU24" s="13">
        <v>0</v>
      </c>
      <c r="AV24" s="14"/>
      <c r="AW24" s="10"/>
      <c r="AX24" s="12" t="s">
        <v>7</v>
      </c>
      <c r="AY24" s="13">
        <v>0</v>
      </c>
      <c r="AZ24" s="14"/>
      <c r="BA24" s="51"/>
    </row>
    <row r="25" spans="1:53" ht="15" customHeight="1">
      <c r="A25" s="11"/>
      <c r="B25" s="12" t="s">
        <v>6</v>
      </c>
      <c r="C25" s="15">
        <v>0</v>
      </c>
      <c r="D25" s="14"/>
      <c r="E25" s="10"/>
      <c r="F25" s="12" t="s">
        <v>6</v>
      </c>
      <c r="G25" s="15">
        <v>0</v>
      </c>
      <c r="H25" s="14"/>
      <c r="I25" s="10"/>
      <c r="J25" s="12" t="s">
        <v>6</v>
      </c>
      <c r="K25" s="15">
        <v>0</v>
      </c>
      <c r="L25" s="14"/>
      <c r="M25" s="10"/>
      <c r="N25" s="12" t="s">
        <v>6</v>
      </c>
      <c r="O25" s="15">
        <v>0</v>
      </c>
      <c r="P25" s="14"/>
      <c r="Q25" s="10"/>
      <c r="R25" s="12" t="s">
        <v>6</v>
      </c>
      <c r="S25" s="15">
        <v>0</v>
      </c>
      <c r="T25" s="14"/>
      <c r="U25" s="10"/>
      <c r="V25" s="12" t="s">
        <v>6</v>
      </c>
      <c r="W25" s="15">
        <v>0</v>
      </c>
      <c r="X25" s="14"/>
      <c r="Y25" s="10"/>
      <c r="Z25" s="12" t="s">
        <v>6</v>
      </c>
      <c r="AA25" s="44">
        <v>0</v>
      </c>
      <c r="AB25" s="43"/>
      <c r="AC25" s="10"/>
      <c r="AD25" s="12" t="s">
        <v>6</v>
      </c>
      <c r="AE25" s="15">
        <v>0</v>
      </c>
      <c r="AF25" s="14"/>
      <c r="AG25" s="10"/>
      <c r="AH25" s="12" t="s">
        <v>6</v>
      </c>
      <c r="AI25" s="15">
        <v>0</v>
      </c>
      <c r="AJ25" s="14"/>
      <c r="AK25" s="10"/>
      <c r="AL25" s="12" t="s">
        <v>6</v>
      </c>
      <c r="AM25" s="15">
        <v>0</v>
      </c>
      <c r="AN25" s="14"/>
      <c r="AO25" s="10"/>
      <c r="AP25" s="12" t="s">
        <v>6</v>
      </c>
      <c r="AQ25" s="15">
        <v>0</v>
      </c>
      <c r="AR25" s="14"/>
      <c r="AS25" s="10"/>
      <c r="AT25" s="12" t="s">
        <v>6</v>
      </c>
      <c r="AU25" s="15">
        <v>0</v>
      </c>
      <c r="AV25" s="14"/>
      <c r="AW25" s="10"/>
      <c r="AX25" s="12" t="s">
        <v>6</v>
      </c>
      <c r="AY25" s="15">
        <v>0</v>
      </c>
      <c r="AZ25" s="14"/>
      <c r="BA25" s="51"/>
    </row>
    <row r="26" spans="1:53" ht="15" customHeight="1">
      <c r="A26" s="11"/>
      <c r="B26" s="12" t="s">
        <v>5</v>
      </c>
      <c r="C26" s="13" t="s">
        <v>4</v>
      </c>
      <c r="D26" s="14"/>
      <c r="E26" s="10"/>
      <c r="F26" s="12" t="s">
        <v>5</v>
      </c>
      <c r="G26" s="13" t="s">
        <v>4</v>
      </c>
      <c r="H26" s="14"/>
      <c r="I26" s="10"/>
      <c r="J26" s="12" t="s">
        <v>5</v>
      </c>
      <c r="K26" s="13" t="s">
        <v>4</v>
      </c>
      <c r="L26" s="14"/>
      <c r="M26" s="10"/>
      <c r="N26" s="12" t="s">
        <v>5</v>
      </c>
      <c r="O26" s="13" t="s">
        <v>4</v>
      </c>
      <c r="P26" s="14"/>
      <c r="Q26" s="10"/>
      <c r="R26" s="12" t="s">
        <v>5</v>
      </c>
      <c r="S26" s="13" t="s">
        <v>4</v>
      </c>
      <c r="T26" s="14"/>
      <c r="U26" s="10"/>
      <c r="V26" s="12" t="s">
        <v>5</v>
      </c>
      <c r="W26" s="13" t="s">
        <v>4</v>
      </c>
      <c r="X26" s="14"/>
      <c r="Y26" s="10"/>
      <c r="Z26" s="12" t="s">
        <v>5</v>
      </c>
      <c r="AA26" s="44" t="s">
        <v>113</v>
      </c>
      <c r="AB26" s="43"/>
      <c r="AC26" s="10"/>
      <c r="AD26" s="12" t="s">
        <v>5</v>
      </c>
      <c r="AE26" s="13" t="s">
        <v>4</v>
      </c>
      <c r="AF26" s="14"/>
      <c r="AG26" s="10"/>
      <c r="AH26" s="12" t="s">
        <v>5</v>
      </c>
      <c r="AI26" s="54" t="s">
        <v>257</v>
      </c>
      <c r="AJ26" s="14"/>
      <c r="AK26" s="10"/>
      <c r="AL26" s="12" t="s">
        <v>5</v>
      </c>
      <c r="AM26" s="13" t="s">
        <v>4</v>
      </c>
      <c r="AN26" s="14"/>
      <c r="AO26" s="10"/>
      <c r="AP26" s="12" t="s">
        <v>5</v>
      </c>
      <c r="AQ26" s="13" t="s">
        <v>4</v>
      </c>
      <c r="AR26" s="14"/>
      <c r="AS26" s="10"/>
      <c r="AT26" s="12" t="s">
        <v>5</v>
      </c>
      <c r="AU26" s="13" t="s">
        <v>4</v>
      </c>
      <c r="AV26" s="14"/>
      <c r="AW26" s="10"/>
      <c r="AX26" s="12" t="s">
        <v>5</v>
      </c>
      <c r="AY26" s="13" t="s">
        <v>4</v>
      </c>
      <c r="AZ26" s="14"/>
      <c r="BA26" s="51"/>
    </row>
    <row r="27" spans="1:53" ht="15" customHeight="1">
      <c r="A27" s="11"/>
      <c r="B27" s="12" t="s">
        <v>11</v>
      </c>
      <c r="C27" s="15" t="s">
        <v>13</v>
      </c>
      <c r="D27" s="43">
        <v>0</v>
      </c>
      <c r="E27" s="9"/>
      <c r="F27" s="12" t="s">
        <v>11</v>
      </c>
      <c r="G27" s="15" t="s">
        <v>13</v>
      </c>
      <c r="H27" s="14">
        <v>0</v>
      </c>
      <c r="I27" s="10"/>
      <c r="J27" s="12" t="s">
        <v>11</v>
      </c>
      <c r="K27" s="15" t="s">
        <v>13</v>
      </c>
      <c r="L27" s="14">
        <v>0</v>
      </c>
      <c r="M27" s="10"/>
      <c r="N27" s="12" t="s">
        <v>11</v>
      </c>
      <c r="O27" s="15" t="s">
        <v>13</v>
      </c>
      <c r="P27" s="14">
        <v>0</v>
      </c>
      <c r="Q27" s="10"/>
      <c r="R27" s="12" t="s">
        <v>11</v>
      </c>
      <c r="S27" s="15" t="s">
        <v>13</v>
      </c>
      <c r="T27" s="14">
        <v>0</v>
      </c>
      <c r="U27" s="10"/>
      <c r="V27" s="12" t="s">
        <v>11</v>
      </c>
      <c r="W27" s="15" t="s">
        <v>13</v>
      </c>
      <c r="X27" s="14">
        <v>0</v>
      </c>
      <c r="Y27" s="10"/>
      <c r="Z27" s="12" t="s">
        <v>11</v>
      </c>
      <c r="AA27" s="44" t="s">
        <v>131</v>
      </c>
      <c r="AB27" s="43">
        <v>1999</v>
      </c>
      <c r="AC27" s="10"/>
      <c r="AD27" s="12" t="s">
        <v>11</v>
      </c>
      <c r="AE27" s="15" t="s">
        <v>13</v>
      </c>
      <c r="AF27" s="14">
        <v>0</v>
      </c>
      <c r="AG27" s="10"/>
      <c r="AH27" s="12" t="s">
        <v>11</v>
      </c>
      <c r="AI27" s="54" t="s">
        <v>131</v>
      </c>
      <c r="AJ27" s="55">
        <v>2000</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s="51"/>
    </row>
    <row r="28" spans="1:53" ht="15" customHeight="1">
      <c r="A28" s="11"/>
      <c r="B28" s="12" t="s">
        <v>12</v>
      </c>
      <c r="C28" s="15" t="s">
        <v>13</v>
      </c>
      <c r="D28" s="14">
        <v>0</v>
      </c>
      <c r="E28" s="9"/>
      <c r="F28" s="12" t="s">
        <v>12</v>
      </c>
      <c r="G28" s="15" t="s">
        <v>13</v>
      </c>
      <c r="H28" s="16">
        <v>0</v>
      </c>
      <c r="I28" s="10"/>
      <c r="J28" s="12" t="s">
        <v>12</v>
      </c>
      <c r="K28" s="15" t="s">
        <v>13</v>
      </c>
      <c r="L28" s="14">
        <v>0</v>
      </c>
      <c r="M28" s="10"/>
      <c r="N28" s="12" t="s">
        <v>12</v>
      </c>
      <c r="O28" s="15" t="s">
        <v>13</v>
      </c>
      <c r="P28" s="16">
        <v>0</v>
      </c>
      <c r="Q28" s="10"/>
      <c r="R28" s="12" t="s">
        <v>12</v>
      </c>
      <c r="S28" s="15" t="s">
        <v>13</v>
      </c>
      <c r="T28" s="16">
        <v>0</v>
      </c>
      <c r="U28" s="10"/>
      <c r="V28" s="12" t="s">
        <v>12</v>
      </c>
      <c r="W28" s="15" t="s">
        <v>13</v>
      </c>
      <c r="X28" s="16">
        <v>0</v>
      </c>
      <c r="Y28" s="10"/>
      <c r="Z28" s="12" t="s">
        <v>12</v>
      </c>
      <c r="AA28" s="15" t="s">
        <v>13</v>
      </c>
      <c r="AB28" s="14">
        <v>0</v>
      </c>
      <c r="AC28" s="10"/>
      <c r="AD28" s="12" t="s">
        <v>12</v>
      </c>
      <c r="AE28" s="15" t="s">
        <v>13</v>
      </c>
      <c r="AF28" s="16">
        <v>0</v>
      </c>
      <c r="AG28" s="10"/>
      <c r="AH28" s="12" t="s">
        <v>12</v>
      </c>
      <c r="AI28" s="44" t="s">
        <v>268</v>
      </c>
      <c r="AJ28" s="43">
        <v>5000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s="51"/>
    </row>
    <row r="29" spans="1:53" ht="15" customHeight="1">
      <c r="A29" s="11"/>
      <c r="B29" s="12" t="s">
        <v>14</v>
      </c>
      <c r="C29" s="15" t="s">
        <v>13</v>
      </c>
      <c r="D29" s="14">
        <v>0</v>
      </c>
      <c r="E29" s="9"/>
      <c r="F29" s="12" t="s">
        <v>14</v>
      </c>
      <c r="G29" s="15" t="s">
        <v>13</v>
      </c>
      <c r="H29" s="14">
        <v>0</v>
      </c>
      <c r="I29" s="10"/>
      <c r="J29" s="12" t="s">
        <v>14</v>
      </c>
      <c r="K29" s="15" t="s">
        <v>13</v>
      </c>
      <c r="L29" s="14">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15" t="s">
        <v>13</v>
      </c>
      <c r="AJ29" s="14">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s="51"/>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s="51"/>
    </row>
    <row r="31" spans="1:53" ht="15" customHeight="1">
      <c r="A31" s="11"/>
      <c r="B31" s="12" t="s">
        <v>7</v>
      </c>
      <c r="C31" s="13">
        <v>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44">
        <v>49000</v>
      </c>
      <c r="AB31" s="43"/>
      <c r="AC31" s="10"/>
      <c r="AD31" s="12" t="s">
        <v>7</v>
      </c>
      <c r="AE31" s="13">
        <v>0</v>
      </c>
      <c r="AF31" s="14"/>
      <c r="AG31" s="10"/>
      <c r="AH31" s="12" t="s">
        <v>7</v>
      </c>
      <c r="AI31" s="44">
        <v>69000</v>
      </c>
      <c r="AJ31" s="14"/>
      <c r="AK31" s="10"/>
      <c r="AL31" s="12" t="s">
        <v>7</v>
      </c>
      <c r="AM31" s="13">
        <v>0</v>
      </c>
      <c r="AN31" s="14"/>
      <c r="AO31" s="10"/>
      <c r="AP31" s="12" t="s">
        <v>7</v>
      </c>
      <c r="AQ31" s="13">
        <v>0</v>
      </c>
      <c r="AR31" s="14"/>
      <c r="AS31" s="10"/>
      <c r="AT31" s="12" t="s">
        <v>7</v>
      </c>
      <c r="AU31" s="13">
        <v>0</v>
      </c>
      <c r="AV31" s="14"/>
      <c r="AW31" s="10"/>
      <c r="AX31" s="12" t="s">
        <v>7</v>
      </c>
      <c r="AY31" s="13">
        <v>0</v>
      </c>
      <c r="AZ31" s="14"/>
      <c r="BA31" s="5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44">
        <v>0</v>
      </c>
      <c r="AB32" s="43"/>
      <c r="AC32" s="10"/>
      <c r="AD32" s="12" t="s">
        <v>6</v>
      </c>
      <c r="AE32" s="15">
        <v>0</v>
      </c>
      <c r="AF32" s="14"/>
      <c r="AG32" s="10"/>
      <c r="AH32" s="12" t="s">
        <v>6</v>
      </c>
      <c r="AI32" s="15">
        <v>0</v>
      </c>
      <c r="AJ32" s="14"/>
      <c r="AK32" s="10"/>
      <c r="AL32" s="12" t="s">
        <v>6</v>
      </c>
      <c r="AM32" s="15">
        <v>0</v>
      </c>
      <c r="AN32" s="14"/>
      <c r="AO32" s="10"/>
      <c r="AP32" s="12" t="s">
        <v>6</v>
      </c>
      <c r="AQ32" s="15">
        <v>0</v>
      </c>
      <c r="AR32" s="14"/>
      <c r="AS32" s="10"/>
      <c r="AT32" s="12" t="s">
        <v>6</v>
      </c>
      <c r="AU32" s="15">
        <v>0</v>
      </c>
      <c r="AV32" s="14"/>
      <c r="AW32" s="10"/>
      <c r="AX32" s="12" t="s">
        <v>6</v>
      </c>
      <c r="AY32" s="15">
        <v>0</v>
      </c>
      <c r="AZ32" s="14"/>
      <c r="BA32" s="51"/>
    </row>
    <row r="33" spans="1:53" ht="15" customHeight="1">
      <c r="A33" s="11"/>
      <c r="B33" s="12" t="s">
        <v>5</v>
      </c>
      <c r="C33" s="13" t="s">
        <v>4</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44" t="s">
        <v>112</v>
      </c>
      <c r="AB33" s="43"/>
      <c r="AC33" s="10"/>
      <c r="AD33" s="12" t="s">
        <v>5</v>
      </c>
      <c r="AE33" s="13" t="s">
        <v>4</v>
      </c>
      <c r="AF33" s="14"/>
      <c r="AG33" s="10"/>
      <c r="AH33" s="12" t="s">
        <v>5</v>
      </c>
      <c r="AI33" s="54" t="s">
        <v>266</v>
      </c>
      <c r="AJ33" s="14"/>
      <c r="AK33" s="10"/>
      <c r="AL33" s="12" t="s">
        <v>5</v>
      </c>
      <c r="AM33" s="13" t="s">
        <v>4</v>
      </c>
      <c r="AN33" s="14"/>
      <c r="AO33" s="10"/>
      <c r="AP33" s="12" t="s">
        <v>5</v>
      </c>
      <c r="AQ33" s="13" t="s">
        <v>4</v>
      </c>
      <c r="AR33" s="14"/>
      <c r="AS33" s="10"/>
      <c r="AT33" s="12" t="s">
        <v>5</v>
      </c>
      <c r="AU33" s="13" t="s">
        <v>4</v>
      </c>
      <c r="AV33" s="14"/>
      <c r="AW33" s="10"/>
      <c r="AX33" s="12" t="s">
        <v>5</v>
      </c>
      <c r="AY33" s="13" t="s">
        <v>4</v>
      </c>
      <c r="AZ33" s="14"/>
      <c r="BA33" s="51"/>
    </row>
    <row r="34" spans="1:53" ht="15" customHeight="1">
      <c r="A34" s="11"/>
      <c r="B34" s="12" t="s">
        <v>11</v>
      </c>
      <c r="C34" s="15" t="s">
        <v>13</v>
      </c>
      <c r="D34" s="43">
        <v>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44" t="s">
        <v>131</v>
      </c>
      <c r="AB34" s="43">
        <v>1999</v>
      </c>
      <c r="AC34" s="10"/>
      <c r="AD34" s="12" t="s">
        <v>11</v>
      </c>
      <c r="AE34" s="15" t="s">
        <v>13</v>
      </c>
      <c r="AF34" s="14">
        <v>0</v>
      </c>
      <c r="AG34" s="10"/>
      <c r="AH34" s="12" t="s">
        <v>11</v>
      </c>
      <c r="AI34" s="54" t="s">
        <v>131</v>
      </c>
      <c r="AJ34" s="43">
        <v>2000</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s="51"/>
    </row>
    <row r="35" spans="1:53" ht="15" customHeight="1">
      <c r="A35" s="11"/>
      <c r="B35" s="12" t="s">
        <v>12</v>
      </c>
      <c r="C35" s="15" t="s">
        <v>13</v>
      </c>
      <c r="D35" s="43">
        <v>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4">
        <v>0</v>
      </c>
      <c r="AC35" s="10"/>
      <c r="AD35" s="12" t="s">
        <v>12</v>
      </c>
      <c r="AE35" s="15" t="s">
        <v>13</v>
      </c>
      <c r="AF35" s="16">
        <v>0</v>
      </c>
      <c r="AG35" s="10"/>
      <c r="AH35" s="12" t="s">
        <v>12</v>
      </c>
      <c r="AI35" s="15" t="s">
        <v>13</v>
      </c>
      <c r="AJ35" s="16">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s="51"/>
    </row>
    <row r="36" spans="1:53" ht="15" customHeight="1">
      <c r="A36" s="11"/>
      <c r="B36" s="12" t="s">
        <v>14</v>
      </c>
      <c r="C36" s="15" t="s">
        <v>13</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s="51"/>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s="51"/>
    </row>
    <row r="38" spans="1:53" ht="15" customHeight="1">
      <c r="A38" s="11"/>
      <c r="B38" s="12" t="s">
        <v>7</v>
      </c>
      <c r="C38" s="44">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44">
        <v>48000</v>
      </c>
      <c r="AB38" s="43"/>
      <c r="AC38" s="10"/>
      <c r="AD38" s="12" t="s">
        <v>7</v>
      </c>
      <c r="AE38" s="13">
        <v>0</v>
      </c>
      <c r="AF38" s="14"/>
      <c r="AG38" s="10"/>
      <c r="AH38" s="12" t="s">
        <v>7</v>
      </c>
      <c r="AI38" s="44">
        <v>67000</v>
      </c>
      <c r="AJ38" s="14"/>
      <c r="AK38" s="10"/>
      <c r="AL38" s="12" t="s">
        <v>7</v>
      </c>
      <c r="AM38" s="13">
        <v>0</v>
      </c>
      <c r="AN38" s="14"/>
      <c r="AO38" s="10"/>
      <c r="AP38" s="12" t="s">
        <v>7</v>
      </c>
      <c r="AQ38" s="13">
        <v>0</v>
      </c>
      <c r="AR38" s="14"/>
      <c r="AS38" s="10"/>
      <c r="AT38" s="12" t="s">
        <v>7</v>
      </c>
      <c r="AU38" s="13">
        <v>0</v>
      </c>
      <c r="AV38" s="14"/>
      <c r="AW38" s="10"/>
      <c r="AX38" s="12" t="s">
        <v>7</v>
      </c>
      <c r="AY38" s="13">
        <v>0</v>
      </c>
      <c r="AZ38" s="14"/>
      <c r="BA38" s="51"/>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44">
        <v>0</v>
      </c>
      <c r="AB39" s="43"/>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s="51"/>
    </row>
    <row r="40" spans="1:53"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44" t="s">
        <v>33</v>
      </c>
      <c r="AB40" s="43"/>
      <c r="AC40" s="10"/>
      <c r="AD40" s="12" t="s">
        <v>5</v>
      </c>
      <c r="AE40" s="13" t="s">
        <v>4</v>
      </c>
      <c r="AF40" s="14"/>
      <c r="AG40" s="10"/>
      <c r="AH40" s="12" t="s">
        <v>5</v>
      </c>
      <c r="AI40" s="54" t="s">
        <v>267</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s="51"/>
    </row>
    <row r="41" spans="1:53" ht="15" customHeight="1">
      <c r="A41" s="11"/>
      <c r="B41" s="12" t="s">
        <v>11</v>
      </c>
      <c r="C41" s="15" t="s">
        <v>13</v>
      </c>
      <c r="D41" s="43">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44" t="s">
        <v>131</v>
      </c>
      <c r="AB41" s="43">
        <v>1999</v>
      </c>
      <c r="AC41" s="10"/>
      <c r="AD41" s="12" t="s">
        <v>11</v>
      </c>
      <c r="AE41" s="15" t="s">
        <v>13</v>
      </c>
      <c r="AF41" s="14">
        <v>0</v>
      </c>
      <c r="AG41" s="10"/>
      <c r="AH41" s="12" t="s">
        <v>11</v>
      </c>
      <c r="AI41" s="54" t="s">
        <v>131</v>
      </c>
      <c r="AJ41" s="55">
        <v>2000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s="51"/>
    </row>
    <row r="42" spans="1:53" ht="15" customHeight="1">
      <c r="A42" s="11"/>
      <c r="B42" s="12" t="s">
        <v>12</v>
      </c>
      <c r="C42" s="15" t="s">
        <v>13</v>
      </c>
      <c r="D42" s="43">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4">
        <v>0</v>
      </c>
      <c r="AC42" s="10"/>
      <c r="AD42" s="12" t="s">
        <v>12</v>
      </c>
      <c r="AE42" s="15" t="s">
        <v>13</v>
      </c>
      <c r="AF42" s="16">
        <v>0</v>
      </c>
      <c r="AG42" s="10"/>
      <c r="AH42" s="12" t="s">
        <v>12</v>
      </c>
      <c r="AI42" s="15" t="s">
        <v>13</v>
      </c>
      <c r="AJ42" s="16">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s="51"/>
    </row>
    <row r="43" spans="1:53" ht="15" customHeight="1">
      <c r="A43" s="11"/>
      <c r="B43" s="12" t="s">
        <v>14</v>
      </c>
      <c r="C43" s="15" t="s">
        <v>13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s="51"/>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s="51"/>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44">
        <v>65000</v>
      </c>
      <c r="AJ45" s="14"/>
      <c r="AK45" s="10"/>
      <c r="AL45" s="12" t="s">
        <v>7</v>
      </c>
      <c r="AM45" s="13">
        <v>0</v>
      </c>
      <c r="AN45" s="14"/>
      <c r="AO45" s="10"/>
      <c r="AP45" s="12" t="s">
        <v>7</v>
      </c>
      <c r="AQ45" s="13">
        <v>0</v>
      </c>
      <c r="AR45" s="14"/>
      <c r="AS45" s="10"/>
      <c r="AT45" s="12" t="s">
        <v>7</v>
      </c>
      <c r="AU45" s="13">
        <v>0</v>
      </c>
      <c r="AV45" s="14"/>
      <c r="AW45" s="10"/>
      <c r="AX45" s="12" t="s">
        <v>7</v>
      </c>
      <c r="AY45" s="13">
        <v>0</v>
      </c>
      <c r="AZ45" s="14"/>
      <c r="BA45" s="51"/>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s="51"/>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54" t="s">
        <v>269</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s="51"/>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54" t="s">
        <v>131</v>
      </c>
      <c r="AJ48" s="43">
        <v>2000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s="51"/>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6">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s="51"/>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s="51"/>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s="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13">
        <v>0</v>
      </c>
      <c r="AJ52" s="14"/>
      <c r="AK52" s="10"/>
      <c r="AL52" s="12" t="s">
        <v>7</v>
      </c>
      <c r="AM52" s="13">
        <v>0</v>
      </c>
      <c r="AN52" s="14"/>
      <c r="AO52" s="10"/>
      <c r="AP52" s="12" t="s">
        <v>7</v>
      </c>
      <c r="AQ52" s="13">
        <v>0</v>
      </c>
      <c r="AR52" s="14"/>
      <c r="AS52" s="10"/>
      <c r="AT52" s="12" t="s">
        <v>7</v>
      </c>
      <c r="AU52" s="13">
        <v>0</v>
      </c>
      <c r="AV52" s="14"/>
      <c r="AW52" s="10"/>
      <c r="AX52" s="12" t="s">
        <v>7</v>
      </c>
      <c r="AY52" s="13">
        <v>0</v>
      </c>
      <c r="AZ52" s="14"/>
      <c r="BA52" s="51"/>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s="51"/>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13" t="s">
        <v>4</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s="51"/>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15" t="s">
        <v>13</v>
      </c>
      <c r="AJ55" s="14">
        <v>0</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s="51"/>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s="51"/>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s="51"/>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s="51"/>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s="51"/>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s="51"/>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s="5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s="51"/>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s="51"/>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s="51"/>
    </row>
    <row r="65" spans="1:53"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s="51"/>
    </row>
    <row r="66" spans="1:53"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s="51"/>
    </row>
    <row r="67" spans="1:53"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s="51"/>
    </row>
    <row r="68" spans="1:53"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s="51"/>
    </row>
    <row r="69" spans="1:53"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s="51"/>
    </row>
    <row r="70" spans="1:53"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s="51"/>
    </row>
    <row r="71" spans="1:53"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s="51"/>
    </row>
    <row r="72" spans="1:53"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s="51"/>
    </row>
    <row r="73" spans="1:53" ht="15" customHeight="1">
      <c r="A73" s="11"/>
      <c r="B73" s="22" t="s">
        <v>8</v>
      </c>
      <c r="C73" s="23">
        <v>200</v>
      </c>
      <c r="D73" s="24"/>
      <c r="E73" s="25"/>
      <c r="F73" s="22" t="s">
        <v>8</v>
      </c>
      <c r="G73" s="23">
        <v>1000</v>
      </c>
      <c r="H73" s="24"/>
      <c r="I73" s="25"/>
      <c r="J73" s="22" t="s">
        <v>8</v>
      </c>
      <c r="K73" s="23">
        <v>1000</v>
      </c>
      <c r="L73" s="24"/>
      <c r="M73" s="25"/>
      <c r="N73" s="22" t="s">
        <v>8</v>
      </c>
      <c r="O73" s="23">
        <v>2000</v>
      </c>
      <c r="P73" s="24"/>
      <c r="Q73" s="25"/>
      <c r="R73" s="22" t="s">
        <v>8</v>
      </c>
      <c r="S73" s="23">
        <v>0</v>
      </c>
      <c r="T73" s="24"/>
      <c r="U73" s="25"/>
      <c r="V73" s="22" t="s">
        <v>8</v>
      </c>
      <c r="W73" s="23">
        <v>5000</v>
      </c>
      <c r="X73" s="24"/>
      <c r="Y73" s="25"/>
      <c r="Z73" s="22" t="s">
        <v>8</v>
      </c>
      <c r="AA73" s="23">
        <v>1000</v>
      </c>
      <c r="AB73" s="24"/>
      <c r="AC73" s="25"/>
      <c r="AD73" s="22" t="s">
        <v>8</v>
      </c>
      <c r="AE73" s="23">
        <v>1000</v>
      </c>
      <c r="AF73" s="24"/>
      <c r="AG73" s="25"/>
      <c r="AH73" s="22" t="s">
        <v>8</v>
      </c>
      <c r="AI73" s="23">
        <v>1000</v>
      </c>
      <c r="AJ73" s="24"/>
      <c r="AK73" s="25"/>
      <c r="AL73" s="22" t="s">
        <v>8</v>
      </c>
      <c r="AM73" s="23">
        <v>0</v>
      </c>
      <c r="AN73" s="24"/>
      <c r="AO73" s="25"/>
      <c r="AP73" s="22" t="s">
        <v>8</v>
      </c>
      <c r="AQ73" s="23">
        <v>0</v>
      </c>
      <c r="AR73" s="24"/>
      <c r="AS73" s="25"/>
      <c r="AT73" s="22" t="s">
        <v>8</v>
      </c>
      <c r="AU73" s="23">
        <v>0</v>
      </c>
      <c r="AV73" s="24"/>
      <c r="AW73" s="25"/>
      <c r="AX73" s="22" t="s">
        <v>8</v>
      </c>
      <c r="AY73" s="23">
        <v>0</v>
      </c>
      <c r="AZ73" s="24"/>
      <c r="BA73" s="51"/>
    </row>
    <row r="74" spans="1:53"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1</v>
      </c>
      <c r="X74" s="28"/>
      <c r="Y74" s="25"/>
      <c r="Z74" s="26" t="s">
        <v>10</v>
      </c>
      <c r="AA74" s="45">
        <v>1</v>
      </c>
      <c r="AB74" s="28"/>
      <c r="AC74" s="25"/>
      <c r="AD74" s="26" t="s">
        <v>10</v>
      </c>
      <c r="AE74" s="27">
        <v>1</v>
      </c>
      <c r="AF74" s="28"/>
      <c r="AG74" s="25"/>
      <c r="AH74" s="26" t="s">
        <v>10</v>
      </c>
      <c r="AI74" s="45">
        <v>1</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s="51"/>
    </row>
    <row r="75" spans="1:53" s="32" customFormat="1" ht="15.7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22</v>
      </c>
      <c r="AN75" s="28"/>
      <c r="AO75" s="31"/>
      <c r="AP75" s="26" t="s">
        <v>18</v>
      </c>
      <c r="AQ75" s="27" t="s">
        <v>22</v>
      </c>
      <c r="AR75" s="28"/>
      <c r="AS75" s="31"/>
      <c r="AT75" s="26" t="s">
        <v>18</v>
      </c>
      <c r="AU75" s="27" t="s">
        <v>22</v>
      </c>
      <c r="AV75" s="28"/>
      <c r="AW75" s="31"/>
      <c r="AX75" s="26" t="s">
        <v>18</v>
      </c>
      <c r="AY75" s="27" t="s">
        <v>22</v>
      </c>
      <c r="AZ75" s="28"/>
      <c r="BA75" s="51"/>
    </row>
    <row r="76" spans="1:53" s="7" customFormat="1" ht="15.75">
      <c r="A76" s="51"/>
      <c r="B76" s="51"/>
      <c r="C76" s="51"/>
      <c r="D76" s="51"/>
      <c r="E76" s="51"/>
      <c r="F76" s="51"/>
      <c r="G76" s="51"/>
      <c r="H76" s="51"/>
      <c r="I76" s="5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row>
    <row r="77" spans="1:53" s="7" customFormat="1" ht="15.75">
      <c r="A77" s="51"/>
      <c r="B77" s="35" t="s">
        <v>119</v>
      </c>
      <c r="C77" s="36" t="s">
        <v>68</v>
      </c>
      <c r="D77" s="4" t="s">
        <v>36</v>
      </c>
      <c r="E77" s="51"/>
      <c r="F77" s="35" t="s">
        <v>119</v>
      </c>
      <c r="G77" s="36" t="s">
        <v>132</v>
      </c>
      <c r="H77" s="4" t="s">
        <v>36</v>
      </c>
      <c r="I77" s="51"/>
      <c r="J77" s="35" t="s">
        <v>5</v>
      </c>
      <c r="K77" s="47" t="s">
        <v>33</v>
      </c>
      <c r="L77" s="48" t="s">
        <v>36</v>
      </c>
      <c r="M77" s="51"/>
      <c r="N77" s="35" t="s">
        <v>5</v>
      </c>
      <c r="O77" s="36" t="s">
        <v>19</v>
      </c>
      <c r="P77" s="4" t="s">
        <v>37</v>
      </c>
      <c r="Q77" s="51"/>
      <c r="R77" s="35" t="s">
        <v>5</v>
      </c>
      <c r="S77" s="36" t="s">
        <v>51</v>
      </c>
      <c r="T77" s="4" t="s">
        <v>36</v>
      </c>
      <c r="U77" s="51"/>
      <c r="V77" s="35" t="s">
        <v>5</v>
      </c>
      <c r="W77" s="36" t="s">
        <v>52</v>
      </c>
      <c r="X77" s="48" t="s">
        <v>37</v>
      </c>
      <c r="Y77" s="51"/>
      <c r="Z77" s="35" t="s">
        <v>5</v>
      </c>
      <c r="AA77" s="36" t="s">
        <v>53</v>
      </c>
      <c r="AB77" s="48" t="s">
        <v>37</v>
      </c>
      <c r="AC77" s="51"/>
      <c r="AD77" s="35" t="s">
        <v>5</v>
      </c>
      <c r="AE77" s="36" t="s">
        <v>143</v>
      </c>
      <c r="AF77" s="4" t="s">
        <v>37</v>
      </c>
      <c r="AG77" s="51"/>
      <c r="AH77" s="35" t="s">
        <v>5</v>
      </c>
      <c r="AI77" s="36" t="s">
        <v>144</v>
      </c>
      <c r="AJ77" s="4" t="s">
        <v>36</v>
      </c>
      <c r="AK77" s="51"/>
      <c r="AL77" s="35" t="s">
        <v>5</v>
      </c>
      <c r="AM77" s="36" t="s">
        <v>145</v>
      </c>
      <c r="AN77" s="4" t="s">
        <v>37</v>
      </c>
      <c r="AO77" s="51"/>
      <c r="AP77" s="35" t="s">
        <v>5</v>
      </c>
      <c r="AQ77" s="36" t="s">
        <v>145</v>
      </c>
      <c r="AR77" s="4" t="s">
        <v>37</v>
      </c>
      <c r="AS77" s="51"/>
      <c r="AT77" s="35" t="s">
        <v>5</v>
      </c>
      <c r="AU77" s="36" t="s">
        <v>145</v>
      </c>
      <c r="AV77" s="4" t="s">
        <v>37</v>
      </c>
      <c r="AW77" s="51"/>
      <c r="AX77" s="35" t="s">
        <v>5</v>
      </c>
      <c r="AY77" s="47" t="s">
        <v>193</v>
      </c>
      <c r="AZ77" s="48" t="s">
        <v>36</v>
      </c>
      <c r="BA77" s="51"/>
    </row>
    <row r="78" spans="1:53" s="7" customFormat="1" ht="15.75">
      <c r="A78" s="51"/>
      <c r="B78" s="35" t="s">
        <v>38</v>
      </c>
      <c r="C78" s="36" t="s">
        <v>126</v>
      </c>
      <c r="D78" s="38" t="s">
        <v>120</v>
      </c>
      <c r="E78" s="51"/>
      <c r="F78" s="35" t="s">
        <v>38</v>
      </c>
      <c r="G78" s="36" t="s">
        <v>126</v>
      </c>
      <c r="H78" s="38" t="s">
        <v>120</v>
      </c>
      <c r="I78" s="51"/>
      <c r="J78" s="35" t="s">
        <v>38</v>
      </c>
      <c r="K78" s="47" t="s">
        <v>42</v>
      </c>
      <c r="L78" s="47">
        <v>0</v>
      </c>
      <c r="M78" s="51"/>
      <c r="N78" s="35" t="s">
        <v>38</v>
      </c>
      <c r="O78" s="36" t="s">
        <v>43</v>
      </c>
      <c r="P78" s="38">
        <v>15</v>
      </c>
      <c r="Q78" s="51"/>
      <c r="R78" s="35" t="s">
        <v>38</v>
      </c>
      <c r="S78" s="36" t="s">
        <v>62</v>
      </c>
      <c r="T78" s="38" t="s">
        <v>63</v>
      </c>
      <c r="U78" s="51"/>
      <c r="V78" s="35" t="s">
        <v>38</v>
      </c>
      <c r="W78" s="36" t="s">
        <v>62</v>
      </c>
      <c r="X78" s="38" t="s">
        <v>64</v>
      </c>
      <c r="Y78" s="51"/>
      <c r="Z78" s="35" t="s">
        <v>38</v>
      </c>
      <c r="AA78" s="36" t="s">
        <v>62</v>
      </c>
      <c r="AB78" s="38" t="s">
        <v>65</v>
      </c>
      <c r="AC78" s="51"/>
      <c r="AD78" s="35" t="s">
        <v>38</v>
      </c>
      <c r="AE78" s="36" t="s">
        <v>43</v>
      </c>
      <c r="AF78" s="38" t="s">
        <v>146</v>
      </c>
      <c r="AG78" s="51"/>
      <c r="AH78" s="35" t="s">
        <v>38</v>
      </c>
      <c r="AI78" s="36" t="s">
        <v>42</v>
      </c>
      <c r="AJ78" s="36">
        <v>0</v>
      </c>
      <c r="AK78" s="51"/>
      <c r="AL78" s="35" t="s">
        <v>38</v>
      </c>
      <c r="AM78" s="36" t="s">
        <v>147</v>
      </c>
      <c r="AN78" s="36">
        <v>1</v>
      </c>
      <c r="AO78" s="51"/>
      <c r="AP78" s="35" t="s">
        <v>38</v>
      </c>
      <c r="AQ78" s="36" t="s">
        <v>147</v>
      </c>
      <c r="AR78" s="36">
        <v>2</v>
      </c>
      <c r="AS78" s="51"/>
      <c r="AT78" s="35" t="s">
        <v>38</v>
      </c>
      <c r="AU78" s="36" t="s">
        <v>147</v>
      </c>
      <c r="AV78" s="36">
        <v>3</v>
      </c>
      <c r="AW78" s="51"/>
      <c r="AX78" s="35" t="s">
        <v>38</v>
      </c>
      <c r="AY78" s="47" t="s">
        <v>194</v>
      </c>
      <c r="AZ78" s="49" t="s">
        <v>65</v>
      </c>
      <c r="BA78" s="51"/>
    </row>
    <row r="79" spans="1:53" s="7" customFormat="1" ht="15.75">
      <c r="A79" s="51"/>
      <c r="B79" s="35" t="s">
        <v>38</v>
      </c>
      <c r="C79" s="36" t="s">
        <v>125</v>
      </c>
      <c r="D79" s="38" t="s">
        <v>134</v>
      </c>
      <c r="E79" s="51"/>
      <c r="F79" s="35" t="s">
        <v>38</v>
      </c>
      <c r="G79" s="36" t="s">
        <v>125</v>
      </c>
      <c r="H79" s="38" t="s">
        <v>134</v>
      </c>
      <c r="I79" s="51"/>
      <c r="J79" s="35" t="s">
        <v>38</v>
      </c>
      <c r="K79" s="47" t="s">
        <v>39</v>
      </c>
      <c r="L79" s="47">
        <v>2000</v>
      </c>
      <c r="M79" s="51"/>
      <c r="N79" s="35" t="s">
        <v>38</v>
      </c>
      <c r="O79" s="36" t="s">
        <v>44</v>
      </c>
      <c r="P79" s="38" t="s">
        <v>45</v>
      </c>
      <c r="Q79" s="51"/>
      <c r="R79" s="35" t="s">
        <v>38</v>
      </c>
      <c r="S79" s="36" t="s">
        <v>54</v>
      </c>
      <c r="T79" s="49" t="s">
        <v>235</v>
      </c>
      <c r="U79" s="51"/>
      <c r="V79" s="35" t="s">
        <v>38</v>
      </c>
      <c r="W79" s="36" t="s">
        <v>54</v>
      </c>
      <c r="X79" s="38" t="s">
        <v>115</v>
      </c>
      <c r="Y79" s="51"/>
      <c r="Z79" s="35" t="s">
        <v>38</v>
      </c>
      <c r="AA79" s="36" t="s">
        <v>54</v>
      </c>
      <c r="AB79" s="38" t="s">
        <v>118</v>
      </c>
      <c r="AC79" s="51"/>
      <c r="AD79" s="35" t="s">
        <v>38</v>
      </c>
      <c r="AE79" s="36" t="s">
        <v>148</v>
      </c>
      <c r="AF79" s="38" t="s">
        <v>64</v>
      </c>
      <c r="AG79" s="51"/>
      <c r="AH79" s="35" t="s">
        <v>38</v>
      </c>
      <c r="AI79" s="36" t="s">
        <v>149</v>
      </c>
      <c r="AJ79" s="47">
        <v>400</v>
      </c>
      <c r="AK79" s="51"/>
      <c r="AL79" s="35" t="s">
        <v>38</v>
      </c>
      <c r="AM79" s="36" t="s">
        <v>150</v>
      </c>
      <c r="AN79" s="36">
        <v>1200</v>
      </c>
      <c r="AO79" s="51"/>
      <c r="AP79" s="35" t="s">
        <v>38</v>
      </c>
      <c r="AQ79" s="36" t="s">
        <v>150</v>
      </c>
      <c r="AR79" s="36">
        <v>600</v>
      </c>
      <c r="AS79" s="51"/>
      <c r="AT79" s="35" t="s">
        <v>38</v>
      </c>
      <c r="AU79" s="36" t="s">
        <v>150</v>
      </c>
      <c r="AV79" s="36">
        <v>300</v>
      </c>
      <c r="AW79" s="51"/>
      <c r="AX79" s="35" t="s">
        <v>38</v>
      </c>
      <c r="AY79" s="47" t="s">
        <v>195</v>
      </c>
      <c r="AZ79" s="49" t="s">
        <v>196</v>
      </c>
      <c r="BA79" s="51"/>
    </row>
    <row r="80" spans="1:53" s="7" customFormat="1" ht="15.75">
      <c r="A80" s="51"/>
      <c r="B80" s="35" t="s">
        <v>38</v>
      </c>
      <c r="C80" s="36" t="s">
        <v>126</v>
      </c>
      <c r="D80" s="38" t="s">
        <v>121</v>
      </c>
      <c r="E80" s="51"/>
      <c r="F80" s="35" t="s">
        <v>38</v>
      </c>
      <c r="G80" s="36" t="s">
        <v>126</v>
      </c>
      <c r="H80" s="38" t="s">
        <v>121</v>
      </c>
      <c r="I80" s="51"/>
      <c r="J80" s="35" t="s">
        <v>38</v>
      </c>
      <c r="K80" s="47" t="s">
        <v>40</v>
      </c>
      <c r="L80" s="47">
        <v>1000</v>
      </c>
      <c r="M80" s="51"/>
      <c r="N80" s="35" t="s">
        <v>38</v>
      </c>
      <c r="O80" s="36" t="s">
        <v>46</v>
      </c>
      <c r="P80" s="38" t="s">
        <v>47</v>
      </c>
      <c r="Q80" s="51"/>
      <c r="R80" s="35" t="s">
        <v>38</v>
      </c>
      <c r="S80" s="36" t="s">
        <v>67</v>
      </c>
      <c r="T80" s="38" t="s">
        <v>258</v>
      </c>
      <c r="U80" s="51"/>
      <c r="V80" s="35" t="s">
        <v>38</v>
      </c>
      <c r="W80" s="36" t="s">
        <v>67</v>
      </c>
      <c r="X80" s="38" t="s">
        <v>117</v>
      </c>
      <c r="Y80" s="51"/>
      <c r="Z80" s="35" t="s">
        <v>38</v>
      </c>
      <c r="AA80" s="36" t="s">
        <v>67</v>
      </c>
      <c r="AB80" s="38" t="s">
        <v>117</v>
      </c>
      <c r="AC80" s="51"/>
      <c r="AD80" s="35" t="s">
        <v>38</v>
      </c>
      <c r="AE80" s="36" t="s">
        <v>46</v>
      </c>
      <c r="AF80" s="38" t="s">
        <v>142</v>
      </c>
      <c r="AG80" s="51"/>
      <c r="AH80" s="35" t="s">
        <v>38</v>
      </c>
      <c r="AI80" s="36" t="s">
        <v>151</v>
      </c>
      <c r="AJ80" s="47">
        <v>100</v>
      </c>
      <c r="AK80" s="51"/>
      <c r="AL80" s="35" t="s">
        <v>38</v>
      </c>
      <c r="AM80" s="36" t="s">
        <v>152</v>
      </c>
      <c r="AN80" s="36">
        <v>300</v>
      </c>
      <c r="AO80" s="51"/>
      <c r="AP80" s="35" t="s">
        <v>38</v>
      </c>
      <c r="AQ80" s="36" t="s">
        <v>152</v>
      </c>
      <c r="AR80" s="36">
        <v>300</v>
      </c>
      <c r="AS80" s="51"/>
      <c r="AT80" s="35" t="s">
        <v>38</v>
      </c>
      <c r="AU80" s="36" t="s">
        <v>152</v>
      </c>
      <c r="AV80" s="36">
        <v>300</v>
      </c>
      <c r="AW80" s="51"/>
      <c r="AX80" s="35" t="s">
        <v>38</v>
      </c>
      <c r="AY80" s="47" t="s">
        <v>197</v>
      </c>
      <c r="AZ80" s="49" t="s">
        <v>262</v>
      </c>
      <c r="BA80" s="51"/>
    </row>
    <row r="81" spans="1:53" s="7" customFormat="1" ht="15.75">
      <c r="A81" s="51"/>
      <c r="B81" s="35" t="s">
        <v>38</v>
      </c>
      <c r="C81" s="36" t="s">
        <v>125</v>
      </c>
      <c r="D81" s="38" t="s">
        <v>122</v>
      </c>
      <c r="E81" s="51"/>
      <c r="F81" s="35" t="s">
        <v>38</v>
      </c>
      <c r="G81" s="36" t="s">
        <v>125</v>
      </c>
      <c r="H81" s="38" t="s">
        <v>122</v>
      </c>
      <c r="I81" s="51"/>
      <c r="J81" s="35" t="s">
        <v>38</v>
      </c>
      <c r="K81" s="47" t="s">
        <v>41</v>
      </c>
      <c r="L81" s="47">
        <v>500</v>
      </c>
      <c r="M81" s="51"/>
      <c r="N81" s="35" t="s">
        <v>38</v>
      </c>
      <c r="O81" s="36" t="s">
        <v>48</v>
      </c>
      <c r="P81" s="38" t="s">
        <v>49</v>
      </c>
      <c r="Q81" s="51"/>
      <c r="R81" s="35" t="s">
        <v>38</v>
      </c>
      <c r="S81" s="36" t="s">
        <v>66</v>
      </c>
      <c r="T81" s="38" t="s">
        <v>259</v>
      </c>
      <c r="U81" s="51"/>
      <c r="V81" s="35" t="s">
        <v>38</v>
      </c>
      <c r="W81" s="36" t="s">
        <v>66</v>
      </c>
      <c r="X81" s="38" t="s">
        <v>142</v>
      </c>
      <c r="Y81" s="51"/>
      <c r="Z81" s="35" t="s">
        <v>38</v>
      </c>
      <c r="AA81" s="36" t="s">
        <v>66</v>
      </c>
      <c r="AB81" s="38" t="s">
        <v>142</v>
      </c>
      <c r="AC81" s="51"/>
      <c r="AD81" s="35" t="s">
        <v>38</v>
      </c>
      <c r="AE81" s="36" t="s">
        <v>153</v>
      </c>
      <c r="AF81" s="38" t="s">
        <v>64</v>
      </c>
      <c r="AG81" s="51"/>
      <c r="AH81" s="35" t="s">
        <v>38</v>
      </c>
      <c r="AI81" s="36" t="s">
        <v>154</v>
      </c>
      <c r="AJ81" s="47">
        <v>100</v>
      </c>
      <c r="AK81" s="51"/>
      <c r="AL81" s="51"/>
      <c r="AM81" s="51"/>
      <c r="AN81" s="51"/>
      <c r="AO81" s="51"/>
      <c r="AP81" s="51"/>
      <c r="AQ81" s="51"/>
      <c r="AR81" s="51"/>
      <c r="AS81" s="51"/>
      <c r="AT81" s="51"/>
      <c r="AU81" s="51"/>
      <c r="AV81" s="51"/>
      <c r="AW81" s="51"/>
      <c r="AX81" s="35" t="s">
        <v>38</v>
      </c>
      <c r="AY81" s="47" t="s">
        <v>198</v>
      </c>
      <c r="AZ81" s="49" t="s">
        <v>236</v>
      </c>
      <c r="BA81" s="51"/>
    </row>
    <row r="82" spans="1:53" s="7" customFormat="1" ht="15.75">
      <c r="A82" s="51"/>
      <c r="B82" s="35" t="s">
        <v>38</v>
      </c>
      <c r="C82" s="36" t="s">
        <v>126</v>
      </c>
      <c r="D82" s="38" t="s">
        <v>123</v>
      </c>
      <c r="E82" s="51"/>
      <c r="F82" s="35" t="s">
        <v>38</v>
      </c>
      <c r="G82" s="36" t="s">
        <v>126</v>
      </c>
      <c r="H82" s="38" t="s">
        <v>123</v>
      </c>
      <c r="I82" s="51"/>
      <c r="J82" s="51"/>
      <c r="K82" s="51"/>
      <c r="L82" s="51"/>
      <c r="M82" s="51"/>
      <c r="N82" s="35" t="s">
        <v>38</v>
      </c>
      <c r="O82" s="36" t="s">
        <v>50</v>
      </c>
      <c r="P82" s="38" t="s">
        <v>47</v>
      </c>
      <c r="Q82" s="51"/>
      <c r="R82" s="35" t="s">
        <v>38</v>
      </c>
      <c r="S82" s="36" t="s">
        <v>57</v>
      </c>
      <c r="T82" s="38" t="s">
        <v>227</v>
      </c>
      <c r="U82" s="51"/>
      <c r="V82" s="35" t="s">
        <v>38</v>
      </c>
      <c r="W82" s="36" t="s">
        <v>57</v>
      </c>
      <c r="X82" s="38" t="s">
        <v>58</v>
      </c>
      <c r="Y82" s="51"/>
      <c r="Z82" s="35" t="s">
        <v>38</v>
      </c>
      <c r="AA82" s="36" t="s">
        <v>57</v>
      </c>
      <c r="AB82" s="38" t="s">
        <v>58</v>
      </c>
      <c r="AC82" s="51"/>
      <c r="AD82" s="35" t="s">
        <v>38</v>
      </c>
      <c r="AE82" s="36" t="s">
        <v>50</v>
      </c>
      <c r="AF82" s="38" t="s">
        <v>136</v>
      </c>
      <c r="AG82" s="51"/>
      <c r="AH82" s="35" t="s">
        <v>38</v>
      </c>
      <c r="AI82" s="36" t="s">
        <v>155</v>
      </c>
      <c r="AJ82" s="47">
        <v>200</v>
      </c>
      <c r="AK82" s="51"/>
      <c r="AL82" s="51"/>
      <c r="AM82" s="51"/>
      <c r="AN82" s="51"/>
      <c r="AO82" s="51"/>
      <c r="AP82" s="51"/>
      <c r="AQ82" s="51"/>
      <c r="AR82" s="51"/>
      <c r="AS82" s="51"/>
      <c r="AT82" s="51"/>
      <c r="AU82" s="51"/>
      <c r="AV82" s="51"/>
      <c r="AW82" s="51"/>
      <c r="AX82" s="35" t="s">
        <v>38</v>
      </c>
      <c r="AY82" s="47" t="s">
        <v>237</v>
      </c>
      <c r="AZ82" s="49" t="s">
        <v>263</v>
      </c>
      <c r="BA82" s="51"/>
    </row>
    <row r="83" spans="1:53" s="7" customFormat="1" ht="15.75">
      <c r="A83" s="51"/>
      <c r="B83" s="35" t="s">
        <v>38</v>
      </c>
      <c r="C83" s="36" t="s">
        <v>125</v>
      </c>
      <c r="D83" s="38" t="s">
        <v>135</v>
      </c>
      <c r="E83" s="51"/>
      <c r="F83" s="35" t="s">
        <v>38</v>
      </c>
      <c r="G83" s="36" t="s">
        <v>125</v>
      </c>
      <c r="H83" s="38" t="s">
        <v>135</v>
      </c>
      <c r="I83" s="51"/>
      <c r="J83" s="51"/>
      <c r="K83" s="51"/>
      <c r="L83" s="51"/>
      <c r="M83" s="51"/>
      <c r="N83" s="51"/>
      <c r="O83" s="51"/>
      <c r="P83" s="51"/>
      <c r="Q83" s="51"/>
      <c r="R83" s="35" t="s">
        <v>38</v>
      </c>
      <c r="S83" s="36" t="s">
        <v>55</v>
      </c>
      <c r="T83" s="49" t="s">
        <v>138</v>
      </c>
      <c r="U83" s="51"/>
      <c r="V83" s="35" t="s">
        <v>38</v>
      </c>
      <c r="W83" s="36" t="s">
        <v>55</v>
      </c>
      <c r="X83" s="38" t="s">
        <v>239</v>
      </c>
      <c r="Y83" s="51"/>
      <c r="Z83" s="35" t="s">
        <v>38</v>
      </c>
      <c r="AA83" s="36" t="s">
        <v>55</v>
      </c>
      <c r="AB83" s="38" t="s">
        <v>239</v>
      </c>
      <c r="AC83" s="51"/>
      <c r="AD83" s="35" t="s">
        <v>38</v>
      </c>
      <c r="AE83" s="36" t="s">
        <v>156</v>
      </c>
      <c r="AF83" s="38" t="s">
        <v>64</v>
      </c>
      <c r="AG83" s="51"/>
      <c r="AH83" s="35" t="s">
        <v>38</v>
      </c>
      <c r="AI83" s="36" t="s">
        <v>157</v>
      </c>
      <c r="AJ83" s="47">
        <v>100</v>
      </c>
      <c r="AK83" s="51"/>
      <c r="AL83" s="51"/>
      <c r="AM83" s="51"/>
      <c r="AN83" s="51"/>
      <c r="AO83" s="51"/>
      <c r="AP83" s="51"/>
      <c r="AQ83" s="51"/>
      <c r="AR83" s="51"/>
      <c r="AS83" s="51"/>
      <c r="AT83" s="51"/>
      <c r="AU83" s="51"/>
      <c r="AV83" s="51"/>
      <c r="AW83" s="51"/>
      <c r="AX83" s="35" t="s">
        <v>38</v>
      </c>
      <c r="AY83" s="47" t="s">
        <v>199</v>
      </c>
      <c r="AZ83" s="49" t="s">
        <v>240</v>
      </c>
      <c r="BA83" s="51"/>
    </row>
    <row r="84" spans="1:53" s="7" customFormat="1" ht="15.75">
      <c r="A84" s="51"/>
      <c r="B84" s="35" t="s">
        <v>38</v>
      </c>
      <c r="C84" s="36" t="s">
        <v>126</v>
      </c>
      <c r="D84" s="38" t="s">
        <v>124</v>
      </c>
      <c r="E84" s="51"/>
      <c r="F84" s="35" t="s">
        <v>38</v>
      </c>
      <c r="G84" s="36" t="s">
        <v>126</v>
      </c>
      <c r="H84" s="38" t="s">
        <v>124</v>
      </c>
      <c r="I84" s="51"/>
      <c r="J84" s="51"/>
      <c r="K84" s="51"/>
      <c r="L84" s="51"/>
      <c r="M84" s="51"/>
      <c r="N84" s="51"/>
      <c r="O84" s="51"/>
      <c r="P84" s="51"/>
      <c r="Q84" s="51"/>
      <c r="R84" s="35" t="s">
        <v>38</v>
      </c>
      <c r="S84" s="36" t="s">
        <v>56</v>
      </c>
      <c r="T84" s="49" t="s">
        <v>137</v>
      </c>
      <c r="U84" s="51"/>
      <c r="V84" s="35" t="s">
        <v>38</v>
      </c>
      <c r="W84" s="36" t="s">
        <v>56</v>
      </c>
      <c r="X84" s="38" t="s">
        <v>241</v>
      </c>
      <c r="Y84" s="51"/>
      <c r="Z84" s="35" t="s">
        <v>38</v>
      </c>
      <c r="AA84" s="36" t="s">
        <v>56</v>
      </c>
      <c r="AB84" s="38" t="s">
        <v>241</v>
      </c>
      <c r="AC84" s="51"/>
      <c r="AD84" s="35" t="s">
        <v>38</v>
      </c>
      <c r="AE84" s="36" t="s">
        <v>158</v>
      </c>
      <c r="AF84" s="38" t="s">
        <v>159</v>
      </c>
      <c r="AG84" s="51"/>
      <c r="AH84" s="35" t="s">
        <v>38</v>
      </c>
      <c r="AI84" s="36" t="s">
        <v>160</v>
      </c>
      <c r="AJ84" s="47">
        <v>800</v>
      </c>
      <c r="AK84" s="51"/>
      <c r="AL84" s="51"/>
      <c r="AM84" s="51"/>
      <c r="AN84" s="51"/>
      <c r="AO84" s="51"/>
      <c r="AP84" s="51"/>
      <c r="AQ84" s="51"/>
      <c r="AR84" s="51"/>
      <c r="AS84" s="51"/>
      <c r="AT84" s="51"/>
      <c r="AU84" s="51"/>
      <c r="AV84" s="51"/>
      <c r="AW84" s="51"/>
      <c r="AX84" s="35" t="s">
        <v>38</v>
      </c>
      <c r="AY84" s="47" t="s">
        <v>200</v>
      </c>
      <c r="AZ84" s="49" t="s">
        <v>264</v>
      </c>
      <c r="BA84" s="51"/>
    </row>
    <row r="85" spans="1:53" s="7" customFormat="1" ht="15.75">
      <c r="A85" s="51"/>
      <c r="B85" s="35" t="s">
        <v>38</v>
      </c>
      <c r="C85" s="36" t="s">
        <v>125</v>
      </c>
      <c r="D85" s="38" t="s">
        <v>136</v>
      </c>
      <c r="E85" s="51"/>
      <c r="F85" s="35" t="s">
        <v>38</v>
      </c>
      <c r="G85" s="36" t="s">
        <v>125</v>
      </c>
      <c r="H85" s="38" t="s">
        <v>136</v>
      </c>
      <c r="I85" s="51"/>
      <c r="J85" s="51"/>
      <c r="K85" s="51"/>
      <c r="L85" s="51"/>
      <c r="M85" s="51"/>
      <c r="N85" s="51"/>
      <c r="O85" s="51"/>
      <c r="P85" s="51"/>
      <c r="Q85" s="51"/>
      <c r="R85" s="35" t="s">
        <v>38</v>
      </c>
      <c r="S85" s="36" t="s">
        <v>59</v>
      </c>
      <c r="T85" s="49" t="s">
        <v>243</v>
      </c>
      <c r="U85" s="51"/>
      <c r="V85" s="35" t="s">
        <v>38</v>
      </c>
      <c r="W85" s="36" t="s">
        <v>59</v>
      </c>
      <c r="X85" s="38" t="s">
        <v>141</v>
      </c>
      <c r="Y85" s="51"/>
      <c r="Z85" s="35" t="s">
        <v>38</v>
      </c>
      <c r="AA85" s="36" t="s">
        <v>59</v>
      </c>
      <c r="AB85" s="38" t="s">
        <v>141</v>
      </c>
      <c r="AC85" s="51"/>
      <c r="AD85" s="51"/>
      <c r="AE85" s="51"/>
      <c r="AF85" s="51"/>
      <c r="AG85" s="51"/>
      <c r="AH85" s="35" t="s">
        <v>38</v>
      </c>
      <c r="AI85" s="36" t="s">
        <v>255</v>
      </c>
      <c r="AJ85" s="47">
        <v>100</v>
      </c>
      <c r="AK85" s="51"/>
      <c r="AL85" s="51"/>
      <c r="AM85" s="51"/>
      <c r="AN85" s="51"/>
      <c r="AO85" s="51"/>
      <c r="AP85" s="51"/>
      <c r="AQ85" s="51"/>
      <c r="AR85" s="51"/>
      <c r="AS85" s="51"/>
      <c r="AT85" s="51"/>
      <c r="AU85" s="51"/>
      <c r="AV85" s="51"/>
      <c r="AW85" s="51"/>
      <c r="AX85" s="35" t="s">
        <v>38</v>
      </c>
      <c r="AY85" s="47" t="s">
        <v>201</v>
      </c>
      <c r="AZ85" s="52">
        <f>ROUND(AZ80+AZ86*AZ82/1000, 0)</f>
        <v>212483</v>
      </c>
      <c r="BA85" s="51"/>
    </row>
    <row r="86" spans="1:53" s="7" customFormat="1" ht="15.75">
      <c r="A86" s="51"/>
      <c r="B86" s="41" t="s">
        <v>38</v>
      </c>
      <c r="C86" s="42" t="s">
        <v>127</v>
      </c>
      <c r="D86" s="38" t="s">
        <v>63</v>
      </c>
      <c r="E86" s="51"/>
      <c r="F86" s="41" t="s">
        <v>38</v>
      </c>
      <c r="G86" s="42" t="s">
        <v>127</v>
      </c>
      <c r="H86" s="38" t="s">
        <v>64</v>
      </c>
      <c r="I86" s="51"/>
      <c r="J86" s="51"/>
      <c r="K86" s="51"/>
      <c r="L86" s="51"/>
      <c r="M86" s="51"/>
      <c r="N86" s="51"/>
      <c r="O86" s="51"/>
      <c r="P86" s="51"/>
      <c r="Q86" s="51"/>
      <c r="R86" s="35" t="s">
        <v>38</v>
      </c>
      <c r="S86" s="36" t="s">
        <v>60</v>
      </c>
      <c r="T86" s="49" t="s">
        <v>241</v>
      </c>
      <c r="U86" s="51"/>
      <c r="V86" s="35" t="s">
        <v>38</v>
      </c>
      <c r="W86" s="36" t="s">
        <v>60</v>
      </c>
      <c r="X86" s="38" t="s">
        <v>138</v>
      </c>
      <c r="Y86" s="51"/>
      <c r="Z86" s="35" t="s">
        <v>38</v>
      </c>
      <c r="AA86" s="36" t="s">
        <v>60</v>
      </c>
      <c r="AB86" s="38" t="s">
        <v>138</v>
      </c>
      <c r="AC86" s="51"/>
      <c r="AD86" s="51"/>
      <c r="AE86" s="51"/>
      <c r="AF86" s="51"/>
      <c r="AG86" s="51"/>
      <c r="AH86" s="35" t="s">
        <v>38</v>
      </c>
      <c r="AI86" s="36" t="s">
        <v>256</v>
      </c>
      <c r="AJ86" s="47">
        <v>25500</v>
      </c>
      <c r="AK86" s="51"/>
      <c r="AL86" s="51"/>
      <c r="AM86" s="51"/>
      <c r="AN86" s="51"/>
      <c r="AO86" s="51"/>
      <c r="AP86" s="51"/>
      <c r="AQ86" s="51"/>
      <c r="AR86" s="51"/>
      <c r="AS86" s="51"/>
      <c r="AT86" s="51"/>
      <c r="AU86" s="51"/>
      <c r="AV86" s="51"/>
      <c r="AW86" s="51"/>
      <c r="AX86" s="41" t="s">
        <v>38</v>
      </c>
      <c r="AY86" s="53" t="s">
        <v>202</v>
      </c>
      <c r="AZ86" s="52">
        <f>ROUND((AZ79-AZ80)*1000/(AZ82-AZ81),0)</f>
        <v>2833</v>
      </c>
      <c r="BA86" s="51"/>
    </row>
    <row r="87" spans="1:53" s="7" customFormat="1" ht="15.75">
      <c r="A87" s="51"/>
      <c r="B87" s="51"/>
      <c r="C87" s="51"/>
      <c r="D87" s="51"/>
      <c r="E87" s="51"/>
      <c r="F87" s="51"/>
      <c r="G87" s="51"/>
      <c r="H87" s="51"/>
      <c r="I87" s="51"/>
      <c r="J87" s="51"/>
      <c r="K87" s="51"/>
      <c r="L87" s="51"/>
      <c r="M87" s="51"/>
      <c r="N87" s="51"/>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35" t="s">
        <v>38</v>
      </c>
      <c r="AY87" s="47" t="s">
        <v>203</v>
      </c>
      <c r="AZ87" s="52">
        <f>ROUND(AZ84+AZ88*AZ82/1000,0)</f>
        <v>172517</v>
      </c>
      <c r="BA87" s="51"/>
    </row>
    <row r="88" spans="1:53" s="7" customFormat="1" ht="15.75">
      <c r="A88" s="51"/>
      <c r="B88" s="51"/>
      <c r="C88" s="51"/>
      <c r="D88" s="51"/>
      <c r="E88" s="51"/>
      <c r="F88" s="51"/>
      <c r="G88" s="51"/>
      <c r="H88" s="51"/>
      <c r="I88" s="51"/>
      <c r="J88" s="51"/>
      <c r="K88" s="51"/>
      <c r="L88" s="51"/>
      <c r="M88" s="51"/>
      <c r="N88" s="51"/>
      <c r="O88" s="51"/>
      <c r="P88" s="51"/>
      <c r="Q88" s="51"/>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41" t="s">
        <v>38</v>
      </c>
      <c r="AY88" s="53" t="s">
        <v>204</v>
      </c>
      <c r="AZ88" s="52">
        <f>ROUND((AZ83-AZ84)*1000/(AZ82-AZ81),0)</f>
        <v>2167</v>
      </c>
    </row>
    <row r="89" spans="1:53" s="7" customFormat="1" ht="15.75">
      <c r="A89" s="51"/>
      <c r="B89" s="51"/>
      <c r="C89" s="51"/>
      <c r="D89" s="51"/>
      <c r="E89" s="51"/>
      <c r="F89" s="51"/>
      <c r="G89" s="51"/>
      <c r="H89" s="51"/>
      <c r="I89" s="51"/>
      <c r="J89" s="51"/>
      <c r="K89" s="51"/>
      <c r="L89" s="51"/>
      <c r="M89" s="51"/>
      <c r="N89" s="51"/>
      <c r="O89" s="51"/>
      <c r="P89" s="51"/>
      <c r="Q89" s="51"/>
      <c r="U89" s="51"/>
      <c r="V89" s="51"/>
      <c r="W89" s="51"/>
      <c r="X89" s="51"/>
      <c r="Y89" s="51"/>
      <c r="Z89" s="51"/>
      <c r="AA89" s="51"/>
      <c r="AB89" s="51"/>
      <c r="AC89" s="51"/>
      <c r="AD89" s="51"/>
      <c r="AE89" s="51"/>
      <c r="AF89" s="51"/>
      <c r="AG89" s="51"/>
      <c r="AH89" s="51"/>
      <c r="AI89" s="51"/>
      <c r="AJ89" s="51"/>
      <c r="AK89" s="51"/>
      <c r="AL89" s="51"/>
      <c r="AM89" s="51"/>
      <c r="AN89" s="51"/>
      <c r="AO89" s="51"/>
      <c r="AP89" s="51"/>
      <c r="AQ89" s="51"/>
      <c r="AR89" s="51"/>
      <c r="AS89" s="51"/>
      <c r="AT89" s="51"/>
      <c r="AU89" s="51"/>
      <c r="AV89" s="51"/>
      <c r="AW89" s="51"/>
      <c r="AX89" s="35" t="s">
        <v>38</v>
      </c>
      <c r="AY89" s="36" t="s">
        <v>226</v>
      </c>
      <c r="AZ89" s="49" t="s">
        <v>270</v>
      </c>
    </row>
    <row r="90" spans="1:53" s="7" customFormat="1" ht="15.75">
      <c r="A90" s="51"/>
      <c r="B90" s="51"/>
      <c r="C90" s="51"/>
      <c r="D90" s="51"/>
      <c r="E90" s="51"/>
      <c r="F90" s="51"/>
      <c r="G90" s="51"/>
      <c r="H90" s="51"/>
      <c r="I90" s="51"/>
      <c r="J90" s="51"/>
      <c r="K90" s="51"/>
      <c r="L90" s="51"/>
      <c r="M90" s="51"/>
      <c r="N90" s="51"/>
      <c r="O90" s="51"/>
      <c r="P90" s="51"/>
      <c r="Q90" s="51"/>
      <c r="U90" s="51"/>
      <c r="V90" s="51"/>
      <c r="W90" s="51"/>
      <c r="X90" s="51"/>
      <c r="Y90" s="51"/>
      <c r="Z90" s="51"/>
      <c r="AA90" s="51"/>
      <c r="AB90" s="51"/>
      <c r="AC90" s="51"/>
      <c r="AD90" s="51"/>
      <c r="AE90" s="51"/>
      <c r="AF90" s="51"/>
      <c r="AG90" s="51"/>
      <c r="AH90" s="51"/>
      <c r="AI90" s="51"/>
      <c r="AJ90" s="51"/>
      <c r="AK90" s="51"/>
      <c r="AL90" s="51"/>
      <c r="AM90" s="51"/>
      <c r="AN90" s="51"/>
      <c r="AO90" s="51"/>
      <c r="AP90" s="51"/>
      <c r="AQ90" s="51"/>
      <c r="AR90" s="51"/>
      <c r="AS90" s="51"/>
      <c r="AT90" s="51"/>
      <c r="AU90" s="51"/>
      <c r="AV90" s="51"/>
      <c r="AW90" s="51"/>
      <c r="AX90" s="35" t="s">
        <v>38</v>
      </c>
      <c r="AY90" s="36" t="s">
        <v>228</v>
      </c>
      <c r="AZ90" s="49" t="s">
        <v>270</v>
      </c>
    </row>
    <row r="91" spans="1:53" s="7" customFormat="1" ht="15.75">
      <c r="A91" s="51"/>
      <c r="B91" s="51"/>
      <c r="C91" s="51"/>
      <c r="D91" s="51"/>
      <c r="E91" s="51"/>
      <c r="F91" s="51"/>
      <c r="G91" s="51"/>
      <c r="H91" s="51"/>
      <c r="I91" s="51"/>
      <c r="J91" s="51"/>
      <c r="K91" s="51"/>
      <c r="L91" s="51"/>
      <c r="M91" s="51"/>
      <c r="N91" s="51"/>
      <c r="O91" s="51"/>
      <c r="P91" s="51"/>
      <c r="Q91" s="51"/>
      <c r="U91" s="51"/>
      <c r="V91" s="51"/>
      <c r="W91" s="51"/>
      <c r="X91" s="51"/>
      <c r="Y91" s="51"/>
      <c r="Z91" s="51"/>
      <c r="AA91" s="51"/>
      <c r="AB91" s="51"/>
      <c r="AC91" s="51"/>
      <c r="AD91" s="51"/>
      <c r="AE91" s="51"/>
      <c r="AF91" s="51"/>
      <c r="AG91" s="51"/>
      <c r="AH91" s="51"/>
      <c r="AI91" s="51"/>
      <c r="AJ91" s="51"/>
      <c r="AK91" s="51"/>
      <c r="AL91" s="51"/>
      <c r="AM91" s="51"/>
      <c r="AN91" s="51"/>
      <c r="AO91" s="51"/>
      <c r="AP91" s="51"/>
      <c r="AQ91" s="51"/>
      <c r="AR91" s="51"/>
      <c r="AS91" s="51"/>
      <c r="AT91" s="51"/>
      <c r="AU91" s="51"/>
      <c r="AV91" s="51"/>
      <c r="AW91" s="51"/>
      <c r="AX91" s="35" t="s">
        <v>38</v>
      </c>
      <c r="AY91" s="36" t="s">
        <v>229</v>
      </c>
      <c r="AZ91" s="49" t="s">
        <v>230</v>
      </c>
    </row>
    <row r="92" spans="1:53" s="7" customFormat="1" ht="15.75">
      <c r="A92" s="51"/>
      <c r="B92" s="51"/>
      <c r="C92" s="51"/>
      <c r="D92" s="51"/>
      <c r="E92" s="51"/>
      <c r="F92" s="51"/>
      <c r="G92" s="51"/>
      <c r="H92" s="51"/>
      <c r="I92" s="51"/>
      <c r="J92" s="51"/>
      <c r="K92" s="51"/>
      <c r="L92" s="51"/>
      <c r="M92" s="51"/>
      <c r="N92" s="51"/>
      <c r="O92" s="51"/>
      <c r="P92" s="51"/>
      <c r="Q92" s="51"/>
      <c r="U92" s="51"/>
      <c r="V92" s="51"/>
      <c r="W92" s="51"/>
      <c r="X92" s="51"/>
      <c r="Y92" s="51"/>
      <c r="Z92" s="51"/>
      <c r="AA92" s="51"/>
      <c r="AB92" s="51"/>
      <c r="AC92" s="51"/>
      <c r="AD92" s="51"/>
      <c r="AE92" s="51"/>
      <c r="AF92" s="51"/>
      <c r="AG92" s="51"/>
      <c r="AH92" s="51"/>
      <c r="AI92" s="51"/>
      <c r="AJ92" s="51"/>
      <c r="AK92" s="51"/>
      <c r="AL92" s="51"/>
      <c r="AM92" s="51"/>
      <c r="AN92" s="51"/>
      <c r="AO92" s="51"/>
      <c r="AP92" s="51"/>
      <c r="AQ92" s="51"/>
      <c r="AR92" s="51"/>
      <c r="AS92" s="51"/>
      <c r="AT92" s="51"/>
      <c r="AU92" s="51"/>
      <c r="AV92" s="51"/>
      <c r="AW92" s="51"/>
      <c r="AX92" s="51"/>
    </row>
    <row r="93" spans="1:53" s="7" customFormat="1" ht="15.75">
      <c r="A93" s="51"/>
      <c r="B93" s="51"/>
      <c r="C93" s="51"/>
      <c r="D93" s="51"/>
      <c r="E93" s="51"/>
      <c r="F93" s="51"/>
      <c r="G93" s="51"/>
      <c r="H93" s="51"/>
      <c r="I93" s="51"/>
      <c r="J93" s="51"/>
      <c r="K93" s="51"/>
      <c r="L93" s="51"/>
      <c r="M93" s="51"/>
      <c r="N93" s="51"/>
      <c r="O93" s="51"/>
      <c r="P93" s="51"/>
      <c r="Q93" s="51"/>
      <c r="U93" s="51"/>
      <c r="V93" s="51"/>
      <c r="W93" s="51"/>
      <c r="X93" s="51"/>
      <c r="Y93" s="51"/>
      <c r="Z93" s="51"/>
      <c r="AA93" s="51"/>
      <c r="AB93" s="51"/>
      <c r="AC93" s="51"/>
      <c r="AD93" s="51"/>
      <c r="AE93" s="51"/>
      <c r="AF93" s="51"/>
      <c r="AG93" s="51"/>
      <c r="AH93" s="51"/>
      <c r="AI93" s="51"/>
      <c r="AJ93" s="51"/>
      <c r="AK93" s="51"/>
      <c r="AL93" s="51"/>
      <c r="AM93" s="51"/>
      <c r="AN93" s="51"/>
      <c r="AO93" s="51"/>
      <c r="AP93" s="51"/>
      <c r="AQ93" s="51"/>
      <c r="AR93" s="51"/>
      <c r="AS93" s="51"/>
      <c r="AT93" s="51"/>
      <c r="AU93" s="51"/>
      <c r="AV93" s="51"/>
      <c r="AW93" s="51"/>
      <c r="AX93" s="51"/>
    </row>
    <row r="94" spans="1:53" s="7" customFormat="1" ht="15.75">
      <c r="A94" s="51"/>
      <c r="B94" s="51"/>
      <c r="C94" s="51"/>
      <c r="D94" s="51"/>
      <c r="E94" s="51"/>
      <c r="F94" s="51"/>
      <c r="G94" s="51"/>
      <c r="H94" s="51"/>
      <c r="I94" s="51"/>
      <c r="J94" s="51"/>
      <c r="K94" s="51"/>
      <c r="L94" s="51"/>
      <c r="M94" s="51"/>
      <c r="N94" s="51"/>
      <c r="O94" s="51"/>
      <c r="P94" s="51"/>
      <c r="Q94" s="51"/>
      <c r="U94" s="51"/>
      <c r="V94" s="51"/>
      <c r="W94" s="51"/>
      <c r="X94" s="51"/>
      <c r="Y94" s="51"/>
      <c r="Z94" s="51"/>
      <c r="AA94" s="51"/>
      <c r="AB94" s="51"/>
      <c r="AC94" s="51"/>
      <c r="AD94" s="51"/>
      <c r="AE94" s="51"/>
      <c r="AF94" s="51"/>
      <c r="AG94" s="51"/>
      <c r="AH94" s="51"/>
      <c r="AI94" s="51"/>
      <c r="AJ94" s="51"/>
      <c r="AK94" s="51"/>
      <c r="AL94" s="51"/>
      <c r="AM94" s="51"/>
      <c r="AN94" s="51"/>
      <c r="AO94" s="51"/>
      <c r="AP94" s="51"/>
      <c r="AQ94" s="51"/>
      <c r="AR94" s="51"/>
      <c r="AS94" s="51"/>
      <c r="AT94" s="51"/>
      <c r="AU94" s="51"/>
      <c r="AV94" s="51"/>
      <c r="AW94" s="51"/>
      <c r="AX94" s="51"/>
    </row>
    <row r="95" spans="1:53" ht="15.75">
      <c r="A95" s="51"/>
      <c r="B95" s="51"/>
      <c r="C95" s="51"/>
      <c r="D95" s="51"/>
      <c r="E95" s="51"/>
      <c r="F95" s="51"/>
      <c r="G95" s="51"/>
      <c r="H95" s="51"/>
      <c r="I95" s="51"/>
      <c r="J95" s="51"/>
      <c r="K95" s="51"/>
      <c r="L95" s="51"/>
      <c r="M95" s="51"/>
      <c r="N95" s="51"/>
      <c r="O95" s="51"/>
      <c r="P95" s="51"/>
      <c r="Q95" s="51"/>
      <c r="U95" s="51"/>
      <c r="V95" s="51"/>
      <c r="W95" s="51"/>
      <c r="X95" s="51"/>
      <c r="Y95" s="51"/>
      <c r="Z95" s="51"/>
      <c r="AA95" s="51"/>
      <c r="AB95" s="51"/>
      <c r="AC95" s="51"/>
      <c r="AD95" s="51"/>
      <c r="AE95" s="51"/>
      <c r="AF95" s="51"/>
      <c r="AG95" s="51"/>
      <c r="AH95" s="51"/>
      <c r="AI95" s="51"/>
      <c r="AJ95" s="51"/>
      <c r="AK95" s="51"/>
      <c r="AL95" s="51"/>
      <c r="AM95" s="51"/>
      <c r="AN95" s="51"/>
      <c r="AO95" s="51"/>
      <c r="AP95" s="51"/>
      <c r="AQ95" s="51"/>
      <c r="AR95" s="51"/>
      <c r="AS95" s="51"/>
      <c r="AT95" s="51"/>
      <c r="AU95" s="51"/>
      <c r="AV95" s="51"/>
      <c r="AW95" s="51"/>
      <c r="AX95" s="51"/>
      <c r="AY95" s="1"/>
      <c r="AZ95" s="1"/>
      <c r="BA95" s="1"/>
    </row>
    <row r="96" spans="1:53" ht="15.75">
      <c r="A96" s="51"/>
      <c r="B96" s="51"/>
      <c r="C96" s="51"/>
      <c r="D96" s="51"/>
      <c r="E96" s="51"/>
      <c r="F96" s="51"/>
      <c r="G96" s="51"/>
      <c r="H96" s="51"/>
      <c r="I96" s="51"/>
      <c r="J96" s="51"/>
      <c r="K96" s="51"/>
      <c r="L96" s="51"/>
      <c r="M96" s="51"/>
      <c r="N96" s="51"/>
      <c r="O96" s="51"/>
      <c r="P96" s="51"/>
      <c r="Q96" s="51"/>
      <c r="U96" s="51"/>
      <c r="V96" s="51"/>
      <c r="W96" s="51"/>
      <c r="X96" s="51"/>
      <c r="Y96" s="51"/>
      <c r="Z96" s="51"/>
      <c r="AA96" s="51"/>
      <c r="AB96" s="51"/>
      <c r="AC96" s="51"/>
      <c r="AD96" s="51"/>
      <c r="AE96" s="51"/>
      <c r="AF96" s="51"/>
      <c r="AG96" s="51"/>
      <c r="AH96" s="51"/>
      <c r="AI96" s="51"/>
      <c r="AJ96" s="51"/>
      <c r="AK96" s="51"/>
      <c r="AL96" s="51"/>
      <c r="AM96" s="51"/>
      <c r="AN96" s="51"/>
      <c r="AO96" s="51"/>
      <c r="AP96" s="51"/>
      <c r="AQ96" s="51"/>
      <c r="AR96" s="51"/>
      <c r="AS96" s="51"/>
      <c r="AT96" s="51"/>
      <c r="AU96" s="51"/>
      <c r="AV96" s="51"/>
      <c r="AW96" s="51"/>
      <c r="AX96" s="51"/>
      <c r="AY96" s="1"/>
      <c r="AZ96" s="1"/>
      <c r="BA96" s="1"/>
    </row>
    <row r="97" spans="1:53" ht="15.75">
      <c r="A97" s="51"/>
      <c r="B97" s="51"/>
      <c r="C97" s="51"/>
      <c r="D97" s="51"/>
      <c r="E97" s="51"/>
      <c r="F97" s="51"/>
      <c r="G97" s="51"/>
      <c r="H97" s="51"/>
      <c r="I97" s="51"/>
      <c r="J97" s="51"/>
      <c r="K97" s="51"/>
      <c r="L97" s="51"/>
      <c r="M97" s="51"/>
      <c r="N97" s="51"/>
      <c r="O97" s="51"/>
      <c r="P97" s="51"/>
      <c r="Q97" s="51"/>
      <c r="U97" s="51"/>
      <c r="V97" s="51"/>
      <c r="W97" s="51"/>
      <c r="X97" s="51"/>
      <c r="Y97" s="51"/>
      <c r="Z97" s="51"/>
      <c r="AA97" s="51"/>
      <c r="AB97" s="51"/>
      <c r="AC97" s="51"/>
      <c r="AD97" s="51"/>
      <c r="AE97" s="51"/>
      <c r="AF97" s="51"/>
      <c r="AG97" s="51"/>
      <c r="AH97" s="51"/>
      <c r="AI97" s="51"/>
      <c r="AJ97" s="51"/>
      <c r="AK97" s="51"/>
      <c r="AL97" s="51"/>
      <c r="AM97" s="51"/>
      <c r="AN97" s="51"/>
      <c r="AO97" s="51"/>
      <c r="AP97" s="51"/>
      <c r="AQ97" s="51"/>
      <c r="AR97" s="51"/>
      <c r="AS97" s="51"/>
      <c r="AT97" s="51"/>
      <c r="AU97" s="51"/>
      <c r="AV97" s="51"/>
      <c r="AW97" s="51"/>
      <c r="AX97" s="51"/>
      <c r="AY97" s="1"/>
      <c r="AZ97" s="1"/>
      <c r="BA97" s="1"/>
    </row>
    <row r="98" spans="1:53" ht="15.75">
      <c r="A98" s="51"/>
      <c r="B98" s="51"/>
      <c r="C98" s="51"/>
      <c r="D98" s="51"/>
      <c r="E98" s="51"/>
      <c r="F98" s="51"/>
      <c r="G98" s="51"/>
      <c r="H98" s="51"/>
      <c r="I98" s="51"/>
      <c r="J98" s="51"/>
      <c r="K98" s="51"/>
      <c r="L98" s="51"/>
      <c r="M98" s="51"/>
      <c r="N98" s="51"/>
      <c r="O98" s="51"/>
      <c r="P98" s="51"/>
      <c r="Q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c r="AT98" s="51"/>
      <c r="AU98" s="51"/>
      <c r="AV98" s="51"/>
      <c r="AW98" s="51"/>
      <c r="AX98" s="51"/>
      <c r="AY98" s="1"/>
      <c r="AZ98" s="1"/>
      <c r="BA98" s="1"/>
    </row>
    <row r="99" spans="1:53" ht="15.75">
      <c r="A99" s="51"/>
      <c r="B99" s="51"/>
      <c r="C99" s="51"/>
      <c r="D99" s="51"/>
      <c r="E99" s="51"/>
      <c r="F99" s="51"/>
      <c r="G99" s="51"/>
      <c r="H99" s="51"/>
      <c r="I99" s="51"/>
      <c r="J99" s="51"/>
      <c r="K99" s="51"/>
      <c r="L99" s="51"/>
      <c r="M99" s="51"/>
      <c r="N99" s="51"/>
      <c r="O99" s="51"/>
      <c r="P99" s="51"/>
      <c r="Q99" s="51"/>
      <c r="U99" s="51"/>
      <c r="V99" s="51"/>
      <c r="W99" s="51"/>
      <c r="X99" s="51"/>
      <c r="Y99" s="51"/>
      <c r="Z99" s="51"/>
      <c r="AA99" s="51"/>
      <c r="AB99" s="51"/>
      <c r="AC99" s="51"/>
      <c r="AD99" s="51"/>
      <c r="AE99" s="51"/>
      <c r="AF99" s="51"/>
      <c r="AG99" s="51"/>
      <c r="AH99" s="51"/>
      <c r="AI99" s="51"/>
      <c r="AJ99" s="51"/>
      <c r="AK99" s="51"/>
      <c r="AL99" s="51"/>
      <c r="AM99" s="51"/>
      <c r="AN99" s="51"/>
      <c r="AO99" s="51"/>
      <c r="AP99" s="51"/>
      <c r="AQ99" s="51"/>
      <c r="AR99" s="51"/>
      <c r="AS99" s="51"/>
      <c r="AT99" s="51"/>
      <c r="AU99" s="51"/>
      <c r="AV99" s="51"/>
      <c r="AW99" s="51"/>
      <c r="AX99" s="51"/>
      <c r="AY99" s="1"/>
      <c r="AZ99" s="1"/>
      <c r="BA99" s="1"/>
    </row>
    <row r="100" spans="1:53" ht="15.75">
      <c r="A100" s="51"/>
      <c r="B100" s="51"/>
      <c r="C100" s="51"/>
      <c r="D100" s="51"/>
      <c r="E100" s="51"/>
      <c r="F100" s="51"/>
      <c r="G100" s="51"/>
      <c r="H100" s="51"/>
      <c r="I100" s="51"/>
      <c r="J100" s="51"/>
      <c r="K100" s="51"/>
      <c r="L100" s="51"/>
      <c r="M100" s="51"/>
      <c r="N100" s="51"/>
      <c r="O100" s="51"/>
      <c r="P100" s="51"/>
      <c r="Q100" s="51"/>
      <c r="U100" s="51"/>
      <c r="V100" s="51"/>
      <c r="W100" s="51"/>
      <c r="X100" s="51"/>
      <c r="Y100" s="51"/>
      <c r="Z100" s="51"/>
      <c r="AA100" s="51"/>
      <c r="AB100" s="51"/>
      <c r="AC100" s="51"/>
      <c r="AD100" s="51"/>
      <c r="AE100" s="51"/>
      <c r="AF100" s="51"/>
      <c r="AG100" s="51"/>
      <c r="AH100" s="51"/>
      <c r="AI100" s="51"/>
      <c r="AJ100" s="51"/>
      <c r="AK100" s="51"/>
      <c r="AL100" s="51"/>
      <c r="AM100" s="51"/>
      <c r="AN100" s="51"/>
      <c r="AO100" s="51"/>
      <c r="AP100" s="51"/>
      <c r="AQ100" s="51"/>
      <c r="AR100" s="51"/>
      <c r="AS100" s="51"/>
      <c r="AT100" s="51"/>
      <c r="AU100" s="51"/>
      <c r="AV100" s="51"/>
      <c r="AW100" s="51"/>
      <c r="AX100" s="51"/>
      <c r="AY100" s="51"/>
      <c r="AZ100" s="51"/>
      <c r="BA100" s="51"/>
    </row>
    <row r="101" spans="1:53" ht="15.75">
      <c r="A101" s="51"/>
      <c r="B101" s="51"/>
      <c r="C101" s="51"/>
      <c r="D101" s="51"/>
      <c r="E101" s="51"/>
      <c r="F101" s="51"/>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c r="AT101" s="51"/>
      <c r="AU101" s="51"/>
      <c r="AV101" s="51"/>
      <c r="AW101" s="51"/>
      <c r="AX101" s="51"/>
      <c r="AY101" s="51"/>
      <c r="AZ101" s="51"/>
      <c r="BA101" s="51"/>
    </row>
    <row r="102" spans="1:53" ht="15.75">
      <c r="A102" s="51"/>
      <c r="B102" s="51"/>
      <c r="C102" s="51"/>
      <c r="D102" s="51"/>
      <c r="E102" s="51"/>
      <c r="F102" s="51"/>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c r="AT102" s="51"/>
      <c r="AU102" s="51"/>
      <c r="AV102" s="51"/>
      <c r="AW102" s="51"/>
      <c r="AX102" s="51"/>
      <c r="AY102" s="51"/>
      <c r="AZ102" s="51"/>
      <c r="BA102" s="51"/>
    </row>
    <row r="103" spans="1:53" ht="15.75">
      <c r="A103" s="51"/>
      <c r="B103" s="51"/>
      <c r="C103" s="51"/>
      <c r="D103" s="51"/>
      <c r="E103" s="51"/>
      <c r="F103" s="51"/>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c r="AJ103" s="51"/>
      <c r="AK103" s="51"/>
      <c r="AL103" s="51"/>
      <c r="AM103" s="51"/>
      <c r="AN103" s="51"/>
      <c r="AO103" s="51"/>
      <c r="AP103" s="51"/>
      <c r="AQ103" s="51"/>
      <c r="AR103" s="51"/>
      <c r="AS103" s="51"/>
      <c r="AT103" s="51"/>
      <c r="AU103" s="51"/>
      <c r="AV103" s="51"/>
      <c r="AW103" s="51"/>
      <c r="AX103" s="51"/>
      <c r="AY103" s="51"/>
      <c r="AZ103" s="51"/>
      <c r="BA103" s="51"/>
    </row>
    <row r="104" spans="1:53" ht="15.75">
      <c r="A104" s="51"/>
      <c r="B104" s="51"/>
      <c r="C104" s="51"/>
      <c r="D104" s="51"/>
      <c r="E104" s="51"/>
      <c r="F104" s="51"/>
      <c r="G104" s="51"/>
      <c r="H104" s="51"/>
      <c r="I104" s="51"/>
      <c r="J104" s="51"/>
      <c r="K104" s="51"/>
      <c r="L104" s="51"/>
      <c r="M104" s="51"/>
      <c r="N104" s="51"/>
      <c r="O104" s="51"/>
      <c r="P104" s="51"/>
      <c r="Q104" s="51"/>
      <c r="R104" s="51"/>
      <c r="S104" s="51"/>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c r="AT104" s="51"/>
      <c r="AU104" s="51"/>
      <c r="AV104" s="51"/>
      <c r="AW104" s="51"/>
      <c r="AX104" s="51"/>
      <c r="AY104" s="51"/>
      <c r="AZ104" s="51"/>
      <c r="BA104" s="51"/>
    </row>
    <row r="105" spans="1:53" ht="15.75">
      <c r="A105" s="51"/>
      <c r="B105" s="51"/>
      <c r="C105" s="51"/>
      <c r="D105" s="51"/>
      <c r="E105" s="51"/>
      <c r="F105" s="51"/>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c r="AD105" s="51"/>
      <c r="AE105" s="51"/>
      <c r="AF105" s="51"/>
      <c r="AG105" s="51"/>
      <c r="AH105" s="51"/>
      <c r="AI105" s="51"/>
      <c r="AJ105" s="51"/>
      <c r="AK105" s="51"/>
      <c r="AL105" s="51"/>
      <c r="AM105" s="51"/>
      <c r="AN105" s="51"/>
      <c r="AO105" s="51"/>
      <c r="AP105" s="51"/>
      <c r="AQ105" s="51"/>
      <c r="AR105" s="51"/>
      <c r="AS105" s="51"/>
      <c r="AT105" s="51"/>
      <c r="AU105" s="51"/>
      <c r="AV105" s="51"/>
      <c r="AW105" s="51"/>
      <c r="AX105" s="51"/>
      <c r="AY105" s="51"/>
      <c r="AZ105" s="51"/>
      <c r="BA105" s="51"/>
    </row>
    <row r="106" spans="1:53" ht="15.75">
      <c r="A106" s="51"/>
      <c r="B106" s="51"/>
      <c r="C106" s="51"/>
      <c r="D106" s="51"/>
      <c r="E106" s="51"/>
      <c r="F106" s="51"/>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c r="AV106" s="51"/>
      <c r="AW106" s="51"/>
      <c r="AX106" s="51"/>
      <c r="AY106" s="51"/>
      <c r="AZ106" s="51"/>
      <c r="BA106" s="51"/>
    </row>
    <row r="107" spans="1:53" ht="15.75">
      <c r="A107" s="51"/>
      <c r="B107" s="51"/>
      <c r="C107" s="51"/>
      <c r="D107" s="51"/>
      <c r="E107" s="51"/>
      <c r="F107" s="51"/>
      <c r="G107" s="51"/>
      <c r="H107" s="51"/>
      <c r="I107" s="5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c r="AV107" s="51"/>
      <c r="AW107" s="51"/>
      <c r="AX107" s="51"/>
      <c r="AY107" s="51"/>
      <c r="AZ107" s="51"/>
      <c r="BA107" s="51"/>
    </row>
    <row r="108" spans="1:53" ht="15.75">
      <c r="A108" s="51"/>
      <c r="B108" s="51"/>
      <c r="C108" s="51"/>
      <c r="D108" s="51"/>
      <c r="E108" s="51"/>
      <c r="F108" s="51"/>
      <c r="G108" s="51"/>
      <c r="H108" s="51"/>
      <c r="I108" s="5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c r="AV108" s="51"/>
      <c r="AW108" s="51"/>
      <c r="AX108" s="51"/>
      <c r="AY108" s="51"/>
      <c r="AZ108" s="51"/>
      <c r="BA108" s="51"/>
    </row>
    <row r="109" spans="1:53" ht="15.75">
      <c r="A109" s="51"/>
      <c r="B109" s="51"/>
      <c r="C109" s="51"/>
      <c r="D109" s="51"/>
      <c r="E109" s="51"/>
      <c r="F109" s="51"/>
      <c r="G109" s="51"/>
      <c r="H109" s="51"/>
      <c r="I109" s="5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c r="AV109" s="51"/>
      <c r="AW109" s="51"/>
      <c r="AX109" s="51"/>
      <c r="AY109" s="51"/>
      <c r="AZ109" s="51"/>
      <c r="BA109" s="51"/>
    </row>
    <row r="110" spans="1:53" ht="15.75">
      <c r="A110" s="51"/>
      <c r="B110" s="51"/>
      <c r="C110" s="51"/>
      <c r="D110" s="51"/>
      <c r="E110" s="51"/>
      <c r="F110" s="51"/>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c r="AV110" s="51"/>
      <c r="AW110" s="51"/>
      <c r="AX110" s="51"/>
      <c r="AY110" s="51"/>
      <c r="AZ110" s="51"/>
      <c r="BA110" s="51"/>
    </row>
    <row r="111" spans="1:53" ht="15.75">
      <c r="A111" s="51"/>
      <c r="B111" s="51"/>
      <c r="C111" s="51"/>
      <c r="D111" s="51"/>
      <c r="E111" s="51"/>
      <c r="F111" s="51"/>
      <c r="G111" s="51"/>
      <c r="H111" s="51"/>
      <c r="I111" s="5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c r="AV111" s="51"/>
      <c r="AW111" s="51"/>
      <c r="AX111" s="51"/>
      <c r="AY111" s="51"/>
      <c r="AZ111" s="51"/>
      <c r="BA111" s="51"/>
    </row>
    <row r="112" spans="1:53" ht="15.75">
      <c r="A112" s="51"/>
      <c r="B112" s="51"/>
      <c r="C112" s="51"/>
      <c r="D112" s="51"/>
      <c r="E112" s="51"/>
      <c r="F112" s="51"/>
      <c r="G112" s="51"/>
      <c r="H112" s="51"/>
      <c r="I112" s="5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c r="AV112" s="51"/>
      <c r="AW112" s="51"/>
      <c r="AX112" s="51"/>
      <c r="AY112" s="51"/>
      <c r="AZ112" s="51"/>
      <c r="BA112" s="51"/>
    </row>
    <row r="113" spans="1:53" ht="15.75">
      <c r="A113" s="51"/>
      <c r="B113" s="51"/>
      <c r="C113" s="51"/>
      <c r="D113" s="51"/>
      <c r="E113" s="51"/>
      <c r="F113" s="51"/>
      <c r="G113" s="51"/>
      <c r="H113" s="51"/>
      <c r="I113" s="5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c r="AV113" s="51"/>
      <c r="AW113" s="51"/>
      <c r="AX113" s="51"/>
      <c r="AY113" s="51"/>
      <c r="AZ113" s="51"/>
      <c r="BA113" s="51"/>
    </row>
    <row r="114" spans="1:53" ht="15.75">
      <c r="A114" s="51"/>
      <c r="B114" s="51"/>
      <c r="C114" s="51"/>
      <c r="D114" s="51"/>
      <c r="E114" s="51"/>
      <c r="F114" s="51"/>
      <c r="G114" s="51"/>
      <c r="H114" s="51"/>
      <c r="I114" s="5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c r="AV114" s="51"/>
      <c r="AW114" s="51"/>
      <c r="AX114" s="51"/>
      <c r="AY114" s="51"/>
      <c r="AZ114" s="51"/>
      <c r="BA114" s="51"/>
    </row>
    <row r="115" spans="1:53" ht="15.75">
      <c r="A115" s="51"/>
      <c r="B115" s="51"/>
      <c r="C115" s="51"/>
      <c r="D115" s="51"/>
      <c r="E115" s="51"/>
      <c r="F115" s="51"/>
      <c r="G115" s="51"/>
      <c r="H115" s="51"/>
      <c r="I115" s="5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c r="AV115" s="51"/>
      <c r="AW115" s="51"/>
      <c r="AX115" s="51"/>
      <c r="AY115" s="51"/>
      <c r="AZ115" s="51"/>
      <c r="BA115" s="51"/>
    </row>
    <row r="116" spans="1:53" ht="15.75">
      <c r="A116" s="51"/>
      <c r="B116" s="51"/>
      <c r="C116" s="51"/>
      <c r="D116" s="51"/>
      <c r="E116" s="51"/>
      <c r="F116" s="51"/>
      <c r="G116" s="51"/>
      <c r="H116" s="51"/>
      <c r="I116" s="51"/>
      <c r="J116" s="51"/>
      <c r="K116" s="51"/>
      <c r="L116" s="51"/>
      <c r="M116" s="51"/>
      <c r="N116" s="51"/>
      <c r="O116" s="51"/>
      <c r="P116" s="51"/>
      <c r="Q116" s="51"/>
      <c r="R116" s="51"/>
      <c r="S116" s="51"/>
      <c r="T116" s="51"/>
      <c r="U116" s="51"/>
      <c r="V116" s="51"/>
      <c r="W116" s="51"/>
      <c r="X116" s="51"/>
      <c r="Y116" s="51"/>
      <c r="Z116" s="51"/>
      <c r="AA116" s="51"/>
      <c r="AB116" s="51"/>
      <c r="AC116" s="51"/>
      <c r="AD116" s="51"/>
      <c r="AE116" s="51"/>
      <c r="AF116" s="51"/>
      <c r="AG116" s="51"/>
      <c r="AH116" s="51"/>
      <c r="AI116" s="51"/>
      <c r="AJ116" s="51"/>
      <c r="AK116" s="51"/>
      <c r="AL116" s="51"/>
      <c r="AM116" s="51"/>
      <c r="AN116" s="51"/>
      <c r="AO116" s="51"/>
      <c r="AP116" s="51"/>
      <c r="AQ116" s="51"/>
      <c r="AR116" s="51"/>
      <c r="AS116" s="51"/>
      <c r="AT116" s="51"/>
      <c r="AU116" s="51"/>
      <c r="AV116" s="51"/>
      <c r="AW116" s="51"/>
      <c r="AX116" s="51"/>
      <c r="AY116" s="51"/>
      <c r="AZ116" s="51"/>
      <c r="BA116" s="51"/>
    </row>
    <row r="117" spans="1:53" ht="15.75">
      <c r="A117" s="51"/>
      <c r="B117" s="51"/>
      <c r="C117" s="51"/>
      <c r="D117" s="51"/>
      <c r="E117" s="51"/>
      <c r="F117" s="51"/>
      <c r="G117" s="51"/>
      <c r="H117" s="51"/>
      <c r="I117" s="51"/>
      <c r="J117" s="51"/>
      <c r="K117" s="51"/>
      <c r="L117" s="51"/>
      <c r="M117" s="51"/>
      <c r="N117" s="51"/>
      <c r="O117" s="51"/>
      <c r="P117" s="51"/>
      <c r="Q117" s="51"/>
      <c r="R117" s="51"/>
      <c r="S117" s="51"/>
      <c r="T117" s="51"/>
      <c r="U117" s="51"/>
      <c r="V117" s="51"/>
      <c r="W117" s="51"/>
      <c r="X117" s="51"/>
      <c r="Y117" s="51"/>
      <c r="Z117" s="51"/>
      <c r="AA117" s="51"/>
      <c r="AB117" s="51"/>
      <c r="AC117" s="51"/>
      <c r="AD117" s="51"/>
      <c r="AE117" s="51"/>
      <c r="AF117" s="51"/>
      <c r="AG117" s="51"/>
      <c r="AH117" s="51"/>
      <c r="AI117" s="51"/>
      <c r="AJ117" s="51"/>
      <c r="AK117" s="51"/>
      <c r="AL117" s="51"/>
      <c r="AM117" s="51"/>
      <c r="AN117" s="51"/>
      <c r="AO117" s="51"/>
      <c r="AP117" s="51"/>
      <c r="AQ117" s="51"/>
      <c r="AR117" s="51"/>
      <c r="AS117" s="51"/>
      <c r="AT117" s="51"/>
      <c r="AU117" s="51"/>
      <c r="AV117" s="51"/>
      <c r="AW117" s="51"/>
      <c r="AX117" s="51"/>
      <c r="AY117" s="51"/>
      <c r="AZ117" s="51"/>
      <c r="BA117" s="51"/>
    </row>
    <row r="118" spans="1:53" ht="15.75">
      <c r="A118" s="51"/>
      <c r="B118" s="51"/>
      <c r="C118" s="51"/>
      <c r="D118" s="51"/>
      <c r="E118" s="51"/>
      <c r="F118" s="51"/>
      <c r="G118" s="51"/>
      <c r="H118" s="51"/>
      <c r="I118" s="51"/>
      <c r="J118" s="51"/>
      <c r="K118" s="51"/>
      <c r="L118" s="51"/>
      <c r="M118" s="51"/>
      <c r="N118" s="51"/>
      <c r="O118" s="51"/>
      <c r="P118" s="51"/>
      <c r="Q118" s="51"/>
      <c r="R118" s="51"/>
      <c r="S118" s="51"/>
      <c r="T118" s="51"/>
      <c r="U118" s="51"/>
      <c r="V118" s="51"/>
      <c r="W118" s="51"/>
      <c r="X118" s="51"/>
      <c r="Y118" s="51"/>
      <c r="Z118" s="51"/>
      <c r="AA118" s="51"/>
      <c r="AB118" s="51"/>
      <c r="AC118" s="51"/>
      <c r="AD118" s="51"/>
      <c r="AE118" s="51"/>
      <c r="AF118" s="51"/>
      <c r="AG118" s="51"/>
      <c r="AH118" s="51"/>
      <c r="AI118" s="51"/>
      <c r="AJ118" s="51"/>
      <c r="AK118" s="51"/>
      <c r="AL118" s="51"/>
      <c r="AM118" s="51"/>
      <c r="AN118" s="51"/>
      <c r="AO118" s="51"/>
      <c r="AP118" s="51"/>
      <c r="AQ118" s="51"/>
      <c r="AR118" s="51"/>
      <c r="AS118" s="51"/>
      <c r="AT118" s="51"/>
      <c r="AU118" s="51"/>
      <c r="AV118" s="51"/>
      <c r="AW118" s="51"/>
      <c r="AX118" s="51"/>
      <c r="AY118" s="51"/>
      <c r="AZ118" s="51"/>
      <c r="BA118" s="51"/>
    </row>
    <row r="119" spans="1:53" ht="15.75">
      <c r="A119" s="51"/>
      <c r="B119" s="51"/>
      <c r="C119" s="51"/>
      <c r="D119" s="51"/>
      <c r="E119" s="51"/>
      <c r="F119" s="51"/>
      <c r="G119" s="51"/>
      <c r="H119" s="51"/>
      <c r="I119" s="51"/>
      <c r="J119" s="51"/>
      <c r="K119" s="51"/>
      <c r="L119" s="51"/>
      <c r="M119" s="51"/>
      <c r="N119" s="51"/>
      <c r="O119" s="51"/>
      <c r="P119" s="51"/>
      <c r="Q119" s="51"/>
      <c r="R119" s="51"/>
      <c r="S119" s="51"/>
      <c r="T119" s="51"/>
      <c r="U119" s="51"/>
      <c r="V119" s="51"/>
      <c r="W119" s="51"/>
      <c r="X119" s="51"/>
      <c r="Y119" s="51"/>
      <c r="Z119" s="51"/>
      <c r="AA119" s="51"/>
      <c r="AB119" s="51"/>
      <c r="AC119" s="51"/>
      <c r="AD119" s="51"/>
      <c r="AE119" s="51"/>
      <c r="AF119" s="51"/>
      <c r="AG119" s="51"/>
      <c r="AH119" s="51"/>
      <c r="AI119" s="51"/>
      <c r="AJ119" s="51"/>
      <c r="AK119" s="51"/>
      <c r="AL119" s="51"/>
      <c r="AM119" s="51"/>
      <c r="AN119" s="51"/>
      <c r="AO119" s="51"/>
      <c r="AP119" s="51"/>
      <c r="AQ119" s="51"/>
      <c r="AR119" s="51"/>
      <c r="AS119" s="51"/>
      <c r="AT119" s="51"/>
      <c r="AU119" s="51"/>
      <c r="AV119" s="51"/>
      <c r="AW119" s="51"/>
      <c r="AX119" s="51"/>
      <c r="AY119" s="51"/>
      <c r="AZ119" s="51"/>
      <c r="BA119" s="51"/>
    </row>
    <row r="120" spans="1:53" ht="15.75">
      <c r="A120" s="51"/>
      <c r="B120" s="51"/>
      <c r="C120" s="51"/>
      <c r="D120" s="51"/>
      <c r="E120" s="51"/>
      <c r="F120" s="51"/>
      <c r="G120" s="51"/>
      <c r="H120" s="51"/>
      <c r="I120" s="51"/>
      <c r="J120" s="51"/>
      <c r="K120" s="51"/>
      <c r="L120" s="51"/>
      <c r="M120" s="51"/>
      <c r="N120" s="51"/>
      <c r="O120" s="51"/>
      <c r="P120" s="51"/>
      <c r="Q120" s="51"/>
      <c r="R120" s="51"/>
      <c r="S120" s="51"/>
      <c r="T120" s="51"/>
      <c r="U120" s="51"/>
      <c r="V120" s="51"/>
      <c r="W120" s="51"/>
      <c r="X120" s="51"/>
      <c r="Y120" s="51"/>
      <c r="Z120" s="51"/>
      <c r="AA120" s="51"/>
      <c r="AB120" s="51"/>
      <c r="AC120" s="51"/>
      <c r="AD120" s="51"/>
      <c r="AE120" s="51"/>
      <c r="AF120" s="51"/>
      <c r="AG120" s="51"/>
      <c r="AH120" s="51"/>
      <c r="AI120" s="51"/>
      <c r="AJ120" s="51"/>
      <c r="AK120" s="51"/>
      <c r="AL120" s="51"/>
      <c r="AM120" s="51"/>
      <c r="AN120" s="51"/>
      <c r="AO120" s="51"/>
      <c r="AP120" s="51"/>
      <c r="AQ120" s="51"/>
      <c r="AR120" s="51"/>
      <c r="AS120" s="51"/>
      <c r="AT120" s="51"/>
      <c r="AU120" s="51"/>
      <c r="AV120" s="51"/>
      <c r="AW120" s="51"/>
      <c r="AX120" s="51"/>
      <c r="AY120" s="51"/>
      <c r="AZ120" s="51"/>
      <c r="BA120" s="51"/>
    </row>
    <row r="121" spans="1:53" ht="15.75">
      <c r="A121" s="51"/>
      <c r="B121" s="51"/>
      <c r="C121" s="51"/>
      <c r="D121" s="51"/>
      <c r="E121" s="51"/>
      <c r="F121" s="51"/>
      <c r="G121" s="51"/>
      <c r="H121" s="51"/>
      <c r="I121" s="51"/>
      <c r="J121" s="51"/>
      <c r="K121" s="51"/>
      <c r="L121" s="51"/>
      <c r="M121" s="51"/>
      <c r="N121" s="51"/>
      <c r="O121" s="51"/>
      <c r="P121" s="51"/>
      <c r="Q121" s="51"/>
      <c r="R121" s="51"/>
      <c r="S121" s="51"/>
      <c r="T121" s="51"/>
      <c r="U121" s="51"/>
      <c r="V121" s="51"/>
      <c r="W121" s="51"/>
      <c r="X121" s="51"/>
      <c r="Y121" s="51"/>
      <c r="Z121" s="51"/>
      <c r="AA121" s="51"/>
      <c r="AB121" s="51"/>
      <c r="AC121" s="51"/>
      <c r="AD121" s="51"/>
      <c r="AE121" s="51"/>
      <c r="AF121" s="51"/>
      <c r="AG121" s="51"/>
      <c r="AH121" s="51"/>
      <c r="AI121" s="51"/>
      <c r="AJ121" s="51"/>
      <c r="AK121" s="51"/>
      <c r="AL121" s="51"/>
      <c r="AM121" s="51"/>
      <c r="AN121" s="51"/>
      <c r="AO121" s="51"/>
      <c r="AP121" s="51"/>
      <c r="AQ121" s="51"/>
      <c r="AR121" s="51"/>
      <c r="AS121" s="51"/>
      <c r="AT121" s="51"/>
      <c r="AU121" s="51"/>
      <c r="AV121" s="51"/>
      <c r="AW121" s="51"/>
      <c r="AX121" s="51"/>
      <c r="AY121" s="51"/>
      <c r="AZ121" s="51"/>
      <c r="BA121" s="51"/>
    </row>
    <row r="122" spans="1:53" ht="15.75">
      <c r="A122" s="51"/>
      <c r="B122" s="51"/>
      <c r="C122" s="51"/>
      <c r="D122" s="51"/>
      <c r="E122" s="51"/>
      <c r="F122" s="51"/>
      <c r="G122" s="51"/>
      <c r="H122" s="51"/>
      <c r="I122" s="51"/>
      <c r="J122" s="51"/>
      <c r="K122" s="51"/>
      <c r="L122" s="51"/>
      <c r="M122" s="51"/>
      <c r="N122" s="51"/>
      <c r="O122" s="51"/>
      <c r="P122" s="51"/>
      <c r="Q122" s="51"/>
      <c r="R122" s="51"/>
      <c r="S122" s="51"/>
      <c r="T122" s="51"/>
      <c r="U122" s="51"/>
      <c r="V122" s="51"/>
      <c r="W122" s="51"/>
      <c r="X122" s="51"/>
      <c r="Y122" s="51"/>
      <c r="Z122" s="51"/>
      <c r="AA122" s="51"/>
      <c r="AB122" s="51"/>
      <c r="AC122" s="51"/>
      <c r="AD122" s="51"/>
      <c r="AE122" s="51"/>
      <c r="AF122" s="51"/>
      <c r="AG122" s="51"/>
      <c r="AH122" s="51"/>
      <c r="AI122" s="51"/>
      <c r="AJ122" s="51"/>
      <c r="AK122" s="51"/>
      <c r="AL122" s="51"/>
      <c r="AM122" s="51"/>
      <c r="AN122" s="51"/>
      <c r="AO122" s="51"/>
      <c r="AP122" s="51"/>
      <c r="AQ122" s="51"/>
      <c r="AR122" s="51"/>
      <c r="AS122" s="51"/>
      <c r="AT122" s="51"/>
      <c r="AU122" s="51"/>
      <c r="AV122" s="51"/>
      <c r="AW122" s="51"/>
      <c r="AX122" s="51"/>
      <c r="AY122" s="51"/>
      <c r="AZ122" s="51"/>
      <c r="BA122" s="51"/>
    </row>
    <row r="123" spans="1:53" ht="15.75">
      <c r="AH123" s="51"/>
      <c r="AI123" s="51"/>
      <c r="AJ123" s="51"/>
    </row>
    <row r="124" spans="1:53" ht="15.75">
      <c r="AH124" s="51"/>
      <c r="AI124" s="51"/>
      <c r="AJ124" s="51"/>
    </row>
  </sheetData>
  <phoneticPr fontId="8" type="noConversion"/>
  <dataValidations count="14">
    <dataValidation type="list" allowBlank="1" showInputMessage="1" sqref="AE61 AE47 AE40 AE33 AE26 AE19 AE12 AE68 AI26 AU5 C5 C33 C47 C54 C61 C68 AU12 G5 G19 G26 G33 G40 G47 G54 G61 G68 AY19 AU68 AY26 AQ5 K33 K40 K47 K54 K61 K68 O12 O5 O19 O26 O33 O40 O47 O54 O61 O68 S12 S5 S19 S26 S33 S40 S47 S54 S61 S68 W12 W5 W19 W26 W33 W40 W47 W54 W61 W68 C40 AY47 G12 AA68 AA61 AA54 AA47 AI19 C19 AY12 AY68 C26 AY40 AY61 AY54 AA12 AA33 AA40 AY33 AY5 AE54 AI12 AM5 AM61 AM54 AM47 AM40 AM33 AM26 AM19 AM12 AM68 AA26 AQ61 AQ54 AQ47 AQ40 AQ33 AQ26 AQ19 AQ12 AQ68 AI47 AU61 AU54 AU47 AU40 AU33 AU26 AU19 AI5 AI61 AI54 AI40 AI33 AI68 K19 K12 K5 K26">
      <formula1>'6755_coolers'!A2:A137</formula1>
    </dataValidation>
    <dataValidation type="list" allowBlank="1" showInputMessage="1" showErrorMessage="1" sqref="AU1 C1 G1 AY1 O1 S1 W1 AI1 AA1 AM1 AQ1 K1">
      <formula1>'6755_tz'!A2:A97</formula1>
    </dataValidation>
    <dataValidation type="decimal" allowBlank="1" showInputMessage="1" showErrorMessage="1" errorTitle="Invalid" error="Must between [-1, 65535]" promptTitle="Range" prompt="between [-1, 65535]" sqref="L79:L81">
      <formula1>-1</formula1>
      <formula2>65535</formula2>
    </dataValidation>
    <dataValidation type="decimal" allowBlank="1" showInputMessage="1" showErrorMessage="1" errorTitle="Invalid" error="Must be 0 or 1" promptTitle="kernel log" prompt="0, off (default)_x000a_1, on" sqref="L78 AJ78">
      <formula1>0</formula1>
      <formula2>1</formula2>
    </dataValidation>
    <dataValidation type="decimal" allowBlank="1" showInputMessage="1" showErrorMessage="1" errorTitle="Invalid" error="Must between [-1, 65535]" promptTitle="Range" prompt="0 or between [100, 25500]" sqref="AN79:AN80 AR79:AR80 AV79:AV80 AJ79:AJ86">
      <formula1>0</formula1>
      <formula2>25500</formula2>
    </dataValidation>
    <dataValidation type="decimal" allowBlank="1" showInputMessage="1" showErrorMessage="1" errorTitle="Invalid" error="Must be 0 or 1" promptTitle="kernel log" prompt="[1, max step]" sqref="AN78 AR78 AV78">
      <formula1>1</formula1>
      <formula2>5</formula2>
    </dataValidation>
    <dataValidation type="list" allowBlank="1" showInputMessage="1" showErrorMessage="1" sqref="AF1 D1 H1 T1 X1 P1 AB1 X77 AJ1 AN1 AR1 H77 L77 AZ77 T77 AB77 P77 D77 AV1 AZ1 AV77 AF77 AJ77 AN77 AR77 L1">
      <formula1>"ENABLE,DISABLE"</formula1>
    </dataValidation>
    <dataValidation type="list" allowBlank="1" showInputMessage="1" showErrorMessage="1" sqref="AI69:AI71 AY20:AY22 AE55:AE57 AE48:AE50 AE41:AE43 AE34:AE36 AE27:AE29 AE20:AE22 AE69:AE71 AE13:AE15 AE62:AE64 AI62:AI64 AU62:AU64 O13:O15 O69:O71 O20:O22 O27:O29 O34:O36 O41:O43 O6:O8 O48:O50 O55:O57 O62:O64 C69:C71 C34:C36 C6:C8 C48:C50 C55:C57 C62:C64 S13:S15 S69:S71 S20:S22 S27:S29 S34:S36 S41:S43 S6:S8 S48:S50 S55:S57 S62:S64 AY6:AY8 G69:G71 G20:G22 K69:K71 G27:G29 G34:G36 G41:G43 AQ6:AQ8 K34:K36 G6:G8 G48:G50 G55:G57 K41:K43 AY55:AY57 G62:G64 K48:K50 K55:K57 K62:K64 W13:W15 W69:W71 W20:W22 W27:W29 W34:W36 W41:W43 W6:W8 W48:W50 W55:W57 W62:W64 C27:C29 AU6:AU8 AM6:AM8 G13:G15 AA55:AA57 AA48:AA50 AI13:AI15 AI20:AI22 C20:C22 AY62:AY64 AA69:AA71 AY69:AY71 AA62:AA64 AY48:AY50 AY41:AY43 AY34:AY36 AY27:AY29 AY13:AY15 AA41:AA43 AA6:AA8 C41:C43 AA27:AA29 AE6:AE8 AM55:AM57 AM48:AM50 AM41:AM43 AM34:AM36 AM27:AM29 AM20:AM22 AM69:AM71 AM13:AM15 AM62:AM64 AA34:AA36 AQ55:AQ57 AQ48:AQ50 AQ41:AQ43 AQ34:AQ36 AQ27:AQ29 AQ20:AQ22 AQ69:AQ71 AQ13:AQ15 AQ62:AQ64 AI48:AI50 AU55:AU57 AU48:AU50 AU41:AU43 AU34:AU36 AU27:AU29 AU20:AU22 AU69:AU71 AU13:AU15 AI6:AI8 AI55:AI57 AI41:AI43 AI34:AI36 AI27:AI29 AA13:AA15 K13:K15 K20:K22 K6:K8 K27:K29">
      <formula1>"NULL, CPU0 loading(%), Wifi usage(Kb/s), &lt; Mobile usage(Kb/s), EXIT, mtktscpu, mtktsabb, mtktspmic, mtktsbattery, mtktspa, mtktswmt, mtktsAP, mtktsbuck, mtktsbattery2, mtktsxtal"</formula1>
    </dataValidation>
    <dataValidation type="list" allowBlank="1" showInputMessage="1" showErrorMessage="1" sqref="AE1">
      <formula1>'[2]6755_tz'!A2:A97</formula1>
    </dataValidation>
    <dataValidation type="list" allowBlank="1" showInputMessage="1" sqref="AE5">
      <formula1>'[2]6755_coolers'!A2:A134</formula1>
    </dataValidation>
    <dataValidation type="list" allowBlank="1" showInputMessage="1" sqref="AA5">
      <formula1>'[3]6755_coolers'!A2:A134</formula1>
    </dataValidation>
    <dataValidation type="list" allowBlank="1" showInputMessage="1" showErrorMessage="1" sqref="C13:C15 AA20:AA22">
      <formula1>"NULL, CPU0 loading(%), Wifi usage(Kb/s), EXIT, mtktscpu, mtktsabb, mtktspmic, mtktsbattery, mtktspa, mtktswmt, mtktsAP, mtktsbuck, mtktsbattery2, mtktsxtal"</formula1>
    </dataValidation>
    <dataValidation type="list" allowBlank="1" showInputMessage="1" sqref="C12">
      <formula1>'[4]6755_coolers'!A2:A134</formula1>
    </dataValidation>
    <dataValidation type="list" allowBlank="1" showInputMessage="1" sqref="AA19">
      <formula1>'[1]6735_coolers'!A2:A134</formula1>
    </dataValidation>
  </dataValidations>
  <pageMargins left="0.7" right="0.7" top="0.75" bottom="0.75" header="0.3" footer="0.3"/>
  <pageSetup paperSize="9" orientation="portrait" r:id="rId1"/>
  <legacyDrawing r:id="rId2"/>
</worksheet>
</file>

<file path=xl/worksheets/sheet12.xml><?xml version="1.0" encoding="utf-8"?>
<worksheet xmlns="http://schemas.openxmlformats.org/spreadsheetml/2006/main" xmlns:r="http://schemas.openxmlformats.org/officeDocument/2006/relationships">
  <sheetPr codeName="Sheet81">
    <tabColor rgb="FFFF0000"/>
  </sheetPr>
  <dimension ref="A1:BA122"/>
  <sheetViews>
    <sheetView zoomScale="90" zoomScaleNormal="90" workbookViewId="0">
      <selection activeCell="B42" sqref="B42"/>
    </sheetView>
  </sheetViews>
  <sheetFormatPr defaultRowHeight="14.2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9.140625" style="7"/>
    <col min="54" max="16384" width="9.140625" style="1"/>
  </cols>
  <sheetData>
    <row r="1" spans="1:53" ht="57.75" customHeight="1">
      <c r="A1" s="1" t="s">
        <v>182</v>
      </c>
      <c r="B1" s="2" t="s">
        <v>35</v>
      </c>
      <c r="C1" s="3" t="s">
        <v>23</v>
      </c>
      <c r="D1" s="4" t="s">
        <v>36</v>
      </c>
      <c r="E1" s="5"/>
      <c r="F1" s="2" t="s">
        <v>35</v>
      </c>
      <c r="G1" s="3" t="s">
        <v>24</v>
      </c>
      <c r="H1" s="4" t="s">
        <v>36</v>
      </c>
      <c r="I1" s="5"/>
      <c r="J1" s="2" t="s">
        <v>35</v>
      </c>
      <c r="K1" s="3" t="s">
        <v>25</v>
      </c>
      <c r="L1" s="4" t="s">
        <v>36</v>
      </c>
      <c r="M1" s="6"/>
      <c r="N1" s="2" t="s">
        <v>35</v>
      </c>
      <c r="O1" s="3" t="s">
        <v>26</v>
      </c>
      <c r="P1" s="4" t="s">
        <v>36</v>
      </c>
      <c r="Q1" s="6"/>
      <c r="R1" s="2" t="s">
        <v>35</v>
      </c>
      <c r="S1" s="3" t="s">
        <v>34</v>
      </c>
      <c r="T1" s="4" t="s">
        <v>36</v>
      </c>
      <c r="U1" s="6"/>
      <c r="V1" s="2" t="s">
        <v>35</v>
      </c>
      <c r="W1" s="3" t="s">
        <v>27</v>
      </c>
      <c r="X1" s="4" t="s">
        <v>36</v>
      </c>
      <c r="Y1" s="6"/>
      <c r="Z1" s="2" t="s">
        <v>35</v>
      </c>
      <c r="AA1" s="3" t="s">
        <v>68</v>
      </c>
      <c r="AB1" s="4" t="s">
        <v>36</v>
      </c>
      <c r="AC1" s="6"/>
      <c r="AD1" s="2" t="s">
        <v>35</v>
      </c>
      <c r="AE1" s="3" t="s">
        <v>69</v>
      </c>
      <c r="AF1" s="4" t="s">
        <v>36</v>
      </c>
      <c r="AG1" s="6"/>
      <c r="AH1" s="2" t="s">
        <v>35</v>
      </c>
      <c r="AI1" s="3" t="s">
        <v>132</v>
      </c>
      <c r="AJ1" s="4" t="s">
        <v>36</v>
      </c>
      <c r="AK1" s="6"/>
      <c r="AL1" s="2" t="s">
        <v>35</v>
      </c>
      <c r="AM1" s="3" t="s">
        <v>128</v>
      </c>
      <c r="AN1" s="4" t="s">
        <v>36</v>
      </c>
      <c r="AO1" s="6"/>
      <c r="AP1" s="2" t="s">
        <v>35</v>
      </c>
      <c r="AQ1" s="3" t="s">
        <v>233</v>
      </c>
      <c r="AR1" s="4" t="s">
        <v>36</v>
      </c>
      <c r="AS1" s="6"/>
      <c r="AT1" s="2" t="s">
        <v>35</v>
      </c>
      <c r="AU1" s="3" t="s">
        <v>234</v>
      </c>
      <c r="AV1" s="4" t="s">
        <v>36</v>
      </c>
      <c r="AW1" s="6"/>
      <c r="AX1" s="2" t="s">
        <v>35</v>
      </c>
      <c r="AY1" s="3" t="s">
        <v>129</v>
      </c>
      <c r="AZ1" s="4" t="s">
        <v>36</v>
      </c>
      <c r="BA1" s="51"/>
    </row>
    <row r="2" spans="1:53" ht="30.75" customHeight="1">
      <c r="B2" s="2" t="s">
        <v>9</v>
      </c>
      <c r="C2" s="3">
        <v>2</v>
      </c>
      <c r="D2" s="8"/>
      <c r="E2" s="9"/>
      <c r="F2" s="2" t="s">
        <v>9</v>
      </c>
      <c r="G2" s="3">
        <v>1</v>
      </c>
      <c r="H2" s="8"/>
      <c r="I2" s="10"/>
      <c r="J2" s="2" t="s">
        <v>9</v>
      </c>
      <c r="K2" s="3">
        <v>1</v>
      </c>
      <c r="L2" s="8"/>
      <c r="M2" s="10"/>
      <c r="N2" s="2" t="s">
        <v>9</v>
      </c>
      <c r="O2" s="3">
        <v>1</v>
      </c>
      <c r="P2" s="8"/>
      <c r="Q2" s="10"/>
      <c r="R2" s="2" t="s">
        <v>9</v>
      </c>
      <c r="S2" s="3">
        <v>1</v>
      </c>
      <c r="T2" s="8"/>
      <c r="U2" s="10"/>
      <c r="V2" s="2" t="s">
        <v>9</v>
      </c>
      <c r="W2" s="3">
        <v>1</v>
      </c>
      <c r="X2" s="8"/>
      <c r="Y2" s="10"/>
      <c r="Z2" s="2" t="s">
        <v>9</v>
      </c>
      <c r="AA2" s="3">
        <v>6</v>
      </c>
      <c r="AB2" s="8"/>
      <c r="AC2" s="10"/>
      <c r="AD2" s="2" t="s">
        <v>9</v>
      </c>
      <c r="AE2" s="3">
        <v>1</v>
      </c>
      <c r="AF2" s="8"/>
      <c r="AG2" s="10"/>
      <c r="AH2" s="2" t="s">
        <v>9</v>
      </c>
      <c r="AI2" s="3">
        <v>7</v>
      </c>
      <c r="AJ2" s="46"/>
      <c r="AK2" s="10"/>
      <c r="AL2" s="2" t="s">
        <v>9</v>
      </c>
      <c r="AM2" s="3">
        <v>0</v>
      </c>
      <c r="AN2" s="8"/>
      <c r="AO2" s="10"/>
      <c r="AP2" s="2" t="s">
        <v>9</v>
      </c>
      <c r="AQ2" s="3">
        <v>0</v>
      </c>
      <c r="AR2" s="8"/>
      <c r="AS2" s="10"/>
      <c r="AT2" s="2" t="s">
        <v>9</v>
      </c>
      <c r="AU2" s="3">
        <v>0</v>
      </c>
      <c r="AV2" s="8"/>
      <c r="AW2" s="10"/>
      <c r="AX2" s="2" t="s">
        <v>9</v>
      </c>
      <c r="AY2" s="3">
        <v>0</v>
      </c>
      <c r="AZ2" s="8"/>
      <c r="BA2" s="51"/>
    </row>
    <row r="3" spans="1:53" ht="15" customHeight="1">
      <c r="A3" s="11"/>
      <c r="B3" s="12" t="s">
        <v>7</v>
      </c>
      <c r="C3" s="13">
        <v>117000</v>
      </c>
      <c r="D3" s="14"/>
      <c r="E3" s="9"/>
      <c r="F3" s="12" t="s">
        <v>7</v>
      </c>
      <c r="G3" s="13">
        <v>145000</v>
      </c>
      <c r="H3" s="14"/>
      <c r="I3" s="10"/>
      <c r="J3" s="12" t="s">
        <v>7</v>
      </c>
      <c r="K3" s="13">
        <v>60000</v>
      </c>
      <c r="L3" s="14"/>
      <c r="M3" s="10"/>
      <c r="N3" s="12" t="s">
        <v>7</v>
      </c>
      <c r="O3" s="13">
        <v>120000</v>
      </c>
      <c r="P3" s="14"/>
      <c r="Q3" s="10"/>
      <c r="R3" s="12" t="s">
        <v>7</v>
      </c>
      <c r="S3" s="13">
        <v>117000</v>
      </c>
      <c r="T3" s="14"/>
      <c r="U3" s="10"/>
      <c r="V3" s="12" t="s">
        <v>7</v>
      </c>
      <c r="W3" s="13">
        <v>120000</v>
      </c>
      <c r="X3" s="14"/>
      <c r="Y3" s="10"/>
      <c r="Z3" s="12" t="s">
        <v>7</v>
      </c>
      <c r="AA3" s="13">
        <v>100000</v>
      </c>
      <c r="AB3" s="14"/>
      <c r="AC3" s="10"/>
      <c r="AD3" s="12" t="s">
        <v>7</v>
      </c>
      <c r="AE3" s="13">
        <v>120000</v>
      </c>
      <c r="AF3" s="14"/>
      <c r="AG3" s="10"/>
      <c r="AH3" s="12" t="s">
        <v>7</v>
      </c>
      <c r="AI3" s="13">
        <v>120000</v>
      </c>
      <c r="AJ3" s="43"/>
      <c r="AK3" s="10"/>
      <c r="AL3" s="12" t="s">
        <v>7</v>
      </c>
      <c r="AM3" s="13">
        <v>0</v>
      </c>
      <c r="AN3" s="14"/>
      <c r="AO3" s="10"/>
      <c r="AP3" s="12" t="s">
        <v>7</v>
      </c>
      <c r="AQ3" s="13">
        <v>0</v>
      </c>
      <c r="AR3" s="14"/>
      <c r="AS3" s="10"/>
      <c r="AT3" s="12" t="s">
        <v>7</v>
      </c>
      <c r="AU3" s="13">
        <v>0</v>
      </c>
      <c r="AV3" s="14"/>
      <c r="AW3" s="10"/>
      <c r="AX3" s="12" t="s">
        <v>7</v>
      </c>
      <c r="AY3" s="13">
        <v>0</v>
      </c>
      <c r="AZ3" s="14"/>
      <c r="BA3" s="51"/>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15">
        <v>0</v>
      </c>
      <c r="AJ4" s="43"/>
      <c r="AK4" s="10"/>
      <c r="AL4" s="12" t="s">
        <v>6</v>
      </c>
      <c r="AM4" s="15">
        <v>0</v>
      </c>
      <c r="AN4" s="14"/>
      <c r="AO4" s="10"/>
      <c r="AP4" s="12" t="s">
        <v>6</v>
      </c>
      <c r="AQ4" s="15">
        <v>0</v>
      </c>
      <c r="AR4" s="14"/>
      <c r="AS4" s="10"/>
      <c r="AT4" s="12" t="s">
        <v>6</v>
      </c>
      <c r="AU4" s="15">
        <v>0</v>
      </c>
      <c r="AV4" s="14"/>
      <c r="AW4" s="10"/>
      <c r="AX4" s="12" t="s">
        <v>6</v>
      </c>
      <c r="AY4" s="15">
        <v>0</v>
      </c>
      <c r="AZ4" s="14"/>
      <c r="BA4" s="51"/>
    </row>
    <row r="5" spans="1:53" ht="15" customHeight="1">
      <c r="A5" s="11"/>
      <c r="B5" s="12" t="s">
        <v>5</v>
      </c>
      <c r="C5" s="13" t="s">
        <v>15</v>
      </c>
      <c r="D5" s="14"/>
      <c r="E5" s="9"/>
      <c r="F5" s="12" t="s">
        <v>5</v>
      </c>
      <c r="G5" s="13" t="s">
        <v>1</v>
      </c>
      <c r="H5" s="14"/>
      <c r="I5" s="10"/>
      <c r="J5" s="12" t="s">
        <v>5</v>
      </c>
      <c r="K5" s="13" t="s">
        <v>2</v>
      </c>
      <c r="L5" s="14"/>
      <c r="M5" s="10"/>
      <c r="N5" s="12" t="s">
        <v>5</v>
      </c>
      <c r="O5" s="13" t="s">
        <v>3</v>
      </c>
      <c r="P5" s="14"/>
      <c r="Q5" s="10"/>
      <c r="R5" s="12" t="s">
        <v>5</v>
      </c>
      <c r="S5" s="13" t="s">
        <v>0</v>
      </c>
      <c r="T5" s="14"/>
      <c r="U5" s="10"/>
      <c r="V5" s="12" t="s">
        <v>5</v>
      </c>
      <c r="W5" s="13" t="s">
        <v>16</v>
      </c>
      <c r="X5" s="14"/>
      <c r="Y5" s="10"/>
      <c r="Z5" s="12" t="s">
        <v>5</v>
      </c>
      <c r="AA5" s="13" t="s">
        <v>17</v>
      </c>
      <c r="AB5" s="14"/>
      <c r="AC5" s="10"/>
      <c r="AD5" s="12" t="s">
        <v>5</v>
      </c>
      <c r="AE5" s="13" t="s">
        <v>108</v>
      </c>
      <c r="AF5" s="14"/>
      <c r="AG5" s="10"/>
      <c r="AH5" s="12" t="s">
        <v>5</v>
      </c>
      <c r="AI5" s="13" t="s">
        <v>108</v>
      </c>
      <c r="AJ5" s="43"/>
      <c r="AK5" s="10"/>
      <c r="AL5" s="12" t="s">
        <v>5</v>
      </c>
      <c r="AM5" s="13" t="s">
        <v>4</v>
      </c>
      <c r="AN5" s="14"/>
      <c r="AO5" s="10"/>
      <c r="AP5" s="12" t="s">
        <v>5</v>
      </c>
      <c r="AQ5" s="13" t="s">
        <v>4</v>
      </c>
      <c r="AR5" s="14"/>
      <c r="AS5" s="10"/>
      <c r="AT5" s="12" t="s">
        <v>5</v>
      </c>
      <c r="AU5" s="13" t="s">
        <v>4</v>
      </c>
      <c r="AV5" s="14"/>
      <c r="AW5" s="10"/>
      <c r="AX5" s="12" t="s">
        <v>5</v>
      </c>
      <c r="AY5" s="13" t="s">
        <v>4</v>
      </c>
      <c r="AZ5" s="14"/>
      <c r="BA5" s="51"/>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4">
        <v>0</v>
      </c>
      <c r="AG6" s="10"/>
      <c r="AH6" s="12" t="s">
        <v>11</v>
      </c>
      <c r="AI6" s="15" t="s">
        <v>13</v>
      </c>
      <c r="AJ6" s="15">
        <v>0</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s="51"/>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s="51"/>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s="51"/>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s="51"/>
    </row>
    <row r="10" spans="1:53" ht="15" customHeight="1">
      <c r="A10" s="11"/>
      <c r="B10" s="12" t="s">
        <v>7</v>
      </c>
      <c r="C10" s="44">
        <v>67000</v>
      </c>
      <c r="D10" s="14"/>
      <c r="E10" s="10"/>
      <c r="F10" s="12" t="s">
        <v>7</v>
      </c>
      <c r="G10" s="13">
        <v>0</v>
      </c>
      <c r="H10" s="14"/>
      <c r="I10" s="10"/>
      <c r="J10" s="12" t="s">
        <v>7</v>
      </c>
      <c r="K10" s="13">
        <v>0</v>
      </c>
      <c r="L10" s="14"/>
      <c r="M10" s="10"/>
      <c r="N10" s="12" t="s">
        <v>7</v>
      </c>
      <c r="O10" s="13">
        <v>0</v>
      </c>
      <c r="P10" s="14"/>
      <c r="Q10" s="10"/>
      <c r="R10" s="12" t="s">
        <v>7</v>
      </c>
      <c r="S10" s="13">
        <v>0</v>
      </c>
      <c r="T10" s="14"/>
      <c r="U10" s="10"/>
      <c r="V10" s="12" t="s">
        <v>7</v>
      </c>
      <c r="W10" s="13">
        <v>0</v>
      </c>
      <c r="X10" s="14"/>
      <c r="Y10" s="10"/>
      <c r="Z10" s="12" t="s">
        <v>7</v>
      </c>
      <c r="AA10" s="50">
        <v>90000</v>
      </c>
      <c r="AB10" s="14"/>
      <c r="AC10" s="10"/>
      <c r="AD10" s="12" t="s">
        <v>7</v>
      </c>
      <c r="AE10" s="13">
        <v>0</v>
      </c>
      <c r="AF10" s="14"/>
      <c r="AG10" s="10"/>
      <c r="AH10" s="12" t="s">
        <v>7</v>
      </c>
      <c r="AI10" s="44">
        <v>85000</v>
      </c>
      <c r="AJ10" s="14"/>
      <c r="AK10" s="10"/>
      <c r="AL10" s="12" t="s">
        <v>7</v>
      </c>
      <c r="AM10" s="13">
        <v>0</v>
      </c>
      <c r="AN10" s="14"/>
      <c r="AO10" s="10"/>
      <c r="AP10" s="12" t="s">
        <v>7</v>
      </c>
      <c r="AQ10" s="13">
        <v>0</v>
      </c>
      <c r="AR10" s="14"/>
      <c r="AS10" s="10"/>
      <c r="AT10" s="12" t="s">
        <v>7</v>
      </c>
      <c r="AU10" s="13">
        <v>0</v>
      </c>
      <c r="AV10" s="14"/>
      <c r="AW10" s="10"/>
      <c r="AX10" s="12" t="s">
        <v>7</v>
      </c>
      <c r="AY10" s="13">
        <v>0</v>
      </c>
      <c r="AZ10" s="14"/>
      <c r="BA10" s="51"/>
    </row>
    <row r="11" spans="1:53" ht="15" customHeight="1">
      <c r="A11" s="11"/>
      <c r="B11" s="12" t="s">
        <v>6</v>
      </c>
      <c r="C11" s="15">
        <v>0</v>
      </c>
      <c r="D11" s="14"/>
      <c r="E11" s="10"/>
      <c r="F11" s="12" t="s">
        <v>6</v>
      </c>
      <c r="G11" s="15">
        <v>0</v>
      </c>
      <c r="H11" s="14"/>
      <c r="I11" s="10"/>
      <c r="J11" s="12" t="s">
        <v>6</v>
      </c>
      <c r="K11" s="15">
        <v>0</v>
      </c>
      <c r="L11" s="14"/>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15">
        <v>0</v>
      </c>
      <c r="AJ11" s="14"/>
      <c r="AK11" s="10"/>
      <c r="AL11" s="12" t="s">
        <v>6</v>
      </c>
      <c r="AM11" s="15">
        <v>0</v>
      </c>
      <c r="AN11" s="14"/>
      <c r="AO11" s="10"/>
      <c r="AP11" s="12" t="s">
        <v>6</v>
      </c>
      <c r="AQ11" s="15">
        <v>0</v>
      </c>
      <c r="AR11" s="14"/>
      <c r="AS11" s="10"/>
      <c r="AT11" s="12" t="s">
        <v>6</v>
      </c>
      <c r="AU11" s="15">
        <v>0</v>
      </c>
      <c r="AV11" s="14"/>
      <c r="AW11" s="10"/>
      <c r="AX11" s="12" t="s">
        <v>6</v>
      </c>
      <c r="AY11" s="15">
        <v>0</v>
      </c>
      <c r="AZ11" s="14"/>
      <c r="BA11" s="51"/>
    </row>
    <row r="12" spans="1:53" ht="15" customHeight="1">
      <c r="A12" s="11"/>
      <c r="B12" s="12" t="s">
        <v>5</v>
      </c>
      <c r="C12" s="13" t="s">
        <v>51</v>
      </c>
      <c r="D12" s="14"/>
      <c r="E12" s="10"/>
      <c r="F12" s="12" t="s">
        <v>5</v>
      </c>
      <c r="G12" s="13" t="s">
        <v>4</v>
      </c>
      <c r="H12" s="14"/>
      <c r="I12" s="10"/>
      <c r="J12" s="12" t="s">
        <v>5</v>
      </c>
      <c r="K12" s="13" t="s">
        <v>4</v>
      </c>
      <c r="L12" s="14"/>
      <c r="M12" s="10"/>
      <c r="N12" s="12" t="s">
        <v>5</v>
      </c>
      <c r="O12" s="13" t="s">
        <v>4</v>
      </c>
      <c r="P12" s="14"/>
      <c r="Q12" s="10"/>
      <c r="R12" s="12" t="s">
        <v>5</v>
      </c>
      <c r="S12" s="13" t="s">
        <v>4</v>
      </c>
      <c r="T12" s="14"/>
      <c r="U12" s="10"/>
      <c r="V12" s="12" t="s">
        <v>5</v>
      </c>
      <c r="W12" s="13" t="s">
        <v>4</v>
      </c>
      <c r="X12" s="14"/>
      <c r="Y12" s="10"/>
      <c r="Z12" s="12" t="s">
        <v>5</v>
      </c>
      <c r="AA12" s="50" t="s">
        <v>107</v>
      </c>
      <c r="AB12" s="14"/>
      <c r="AC12" s="10"/>
      <c r="AD12" s="12" t="s">
        <v>5</v>
      </c>
      <c r="AE12" s="13" t="s">
        <v>4</v>
      </c>
      <c r="AF12" s="14"/>
      <c r="AG12" s="10"/>
      <c r="AH12" s="12" t="s">
        <v>5</v>
      </c>
      <c r="AI12" s="54" t="s">
        <v>253</v>
      </c>
      <c r="AJ12" s="14"/>
      <c r="AK12" s="10"/>
      <c r="AL12" s="12" t="s">
        <v>5</v>
      </c>
      <c r="AM12" s="13" t="s">
        <v>4</v>
      </c>
      <c r="AN12" s="14"/>
      <c r="AO12" s="10"/>
      <c r="AP12" s="12" t="s">
        <v>5</v>
      </c>
      <c r="AQ12" s="13" t="s">
        <v>4</v>
      </c>
      <c r="AR12" s="14"/>
      <c r="AS12" s="10"/>
      <c r="AT12" s="12" t="s">
        <v>5</v>
      </c>
      <c r="AU12" s="13" t="s">
        <v>4</v>
      </c>
      <c r="AV12" s="14"/>
      <c r="AW12" s="10"/>
      <c r="AX12" s="12" t="s">
        <v>5</v>
      </c>
      <c r="AY12" s="13" t="s">
        <v>4</v>
      </c>
      <c r="AZ12" s="14"/>
      <c r="BA12" s="51"/>
    </row>
    <row r="13" spans="1:53" ht="15" customHeight="1">
      <c r="A13" s="11"/>
      <c r="B13" s="12" t="s">
        <v>11</v>
      </c>
      <c r="C13" s="15" t="s">
        <v>131</v>
      </c>
      <c r="D13" s="14">
        <v>6000</v>
      </c>
      <c r="E13" s="9"/>
      <c r="F13" s="12" t="s">
        <v>11</v>
      </c>
      <c r="G13" s="15" t="s">
        <v>13</v>
      </c>
      <c r="H13" s="14">
        <v>0</v>
      </c>
      <c r="I13" s="10"/>
      <c r="J13" s="12" t="s">
        <v>11</v>
      </c>
      <c r="K13" s="15" t="s">
        <v>13</v>
      </c>
      <c r="L13" s="14">
        <v>0</v>
      </c>
      <c r="M13" s="10"/>
      <c r="N13" s="12" t="s">
        <v>11</v>
      </c>
      <c r="O13" s="15" t="s">
        <v>13</v>
      </c>
      <c r="P13" s="14">
        <v>0</v>
      </c>
      <c r="Q13" s="10"/>
      <c r="R13" s="12" t="s">
        <v>11</v>
      </c>
      <c r="S13" s="15" t="s">
        <v>13</v>
      </c>
      <c r="T13" s="14">
        <v>0</v>
      </c>
      <c r="U13" s="10"/>
      <c r="V13" s="12" t="s">
        <v>11</v>
      </c>
      <c r="W13" s="15" t="s">
        <v>13</v>
      </c>
      <c r="X13" s="14">
        <v>0</v>
      </c>
      <c r="Y13" s="10"/>
      <c r="Z13" s="12" t="s">
        <v>11</v>
      </c>
      <c r="AA13" s="15" t="s">
        <v>13</v>
      </c>
      <c r="AB13" s="14">
        <v>0</v>
      </c>
      <c r="AC13" s="10"/>
      <c r="AD13" s="12" t="s">
        <v>11</v>
      </c>
      <c r="AE13" s="15" t="s">
        <v>13</v>
      </c>
      <c r="AF13" s="14">
        <v>0</v>
      </c>
      <c r="AG13" s="10"/>
      <c r="AH13" s="12" t="s">
        <v>11</v>
      </c>
      <c r="AI13" s="54" t="s">
        <v>131</v>
      </c>
      <c r="AJ13" s="55">
        <v>2000</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s="51"/>
    </row>
    <row r="14" spans="1:53" ht="15" customHeight="1">
      <c r="A14" s="11"/>
      <c r="B14" s="12" t="s">
        <v>12</v>
      </c>
      <c r="C14" s="15" t="s">
        <v>13</v>
      </c>
      <c r="D14" s="14">
        <v>0</v>
      </c>
      <c r="E14" s="9"/>
      <c r="F14" s="12" t="s">
        <v>12</v>
      </c>
      <c r="G14" s="15" t="s">
        <v>13</v>
      </c>
      <c r="H14" s="14">
        <v>0</v>
      </c>
      <c r="I14" s="10"/>
      <c r="J14" s="12" t="s">
        <v>12</v>
      </c>
      <c r="K14" s="15" t="s">
        <v>13</v>
      </c>
      <c r="L14" s="14">
        <v>0</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6">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s="51"/>
    </row>
    <row r="15" spans="1:53" ht="15" customHeight="1">
      <c r="A15" s="11"/>
      <c r="B15" s="12" t="s">
        <v>14</v>
      </c>
      <c r="C15" s="15" t="s">
        <v>13</v>
      </c>
      <c r="D15" s="14">
        <v>0</v>
      </c>
      <c r="E15" s="9"/>
      <c r="F15" s="12" t="s">
        <v>14</v>
      </c>
      <c r="G15" s="15" t="s">
        <v>13</v>
      </c>
      <c r="H15" s="14">
        <v>0</v>
      </c>
      <c r="I15" s="10"/>
      <c r="J15" s="12" t="s">
        <v>14</v>
      </c>
      <c r="K15" s="15" t="s">
        <v>13</v>
      </c>
      <c r="L15" s="14">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s="51"/>
    </row>
    <row r="16" spans="1:53" s="20" customFormat="1" ht="5.0999999999999996" customHeight="1">
      <c r="A16" s="17"/>
      <c r="B16" s="18"/>
      <c r="C16" s="18"/>
      <c r="D16" s="18"/>
      <c r="E16" s="19"/>
      <c r="F16" s="18"/>
      <c r="G16" s="18"/>
      <c r="H16" s="18"/>
      <c r="I16" s="19"/>
      <c r="J16" s="18"/>
      <c r="K16" s="56"/>
      <c r="L16" s="56"/>
      <c r="M16" s="19"/>
      <c r="N16" s="18"/>
      <c r="O16" s="18"/>
      <c r="P16" s="18"/>
      <c r="Q16" s="19"/>
      <c r="R16" s="18"/>
      <c r="S16" s="18"/>
      <c r="T16" s="18"/>
      <c r="U16" s="19"/>
      <c r="V16" s="18"/>
      <c r="W16" s="18"/>
      <c r="X16" s="18"/>
      <c r="Y16" s="19"/>
      <c r="Z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s="51"/>
    </row>
    <row r="17" spans="1:53" ht="15" customHeight="1">
      <c r="A17" s="11"/>
      <c r="B17" s="12" t="s">
        <v>7</v>
      </c>
      <c r="C17" s="13">
        <v>0</v>
      </c>
      <c r="D17" s="14"/>
      <c r="E17" s="10"/>
      <c r="F17" s="12" t="s">
        <v>7</v>
      </c>
      <c r="G17" s="13">
        <v>0</v>
      </c>
      <c r="H17" s="14"/>
      <c r="I17" s="10"/>
      <c r="J17" s="12" t="s">
        <v>7</v>
      </c>
      <c r="K17" s="13">
        <v>0</v>
      </c>
      <c r="L17" s="14"/>
      <c r="M17" s="10"/>
      <c r="N17" s="12" t="s">
        <v>7</v>
      </c>
      <c r="O17" s="13">
        <v>0</v>
      </c>
      <c r="P17" s="14"/>
      <c r="Q17" s="10"/>
      <c r="R17" s="12" t="s">
        <v>7</v>
      </c>
      <c r="S17" s="13">
        <v>0</v>
      </c>
      <c r="T17" s="14"/>
      <c r="U17" s="10"/>
      <c r="V17" s="12" t="s">
        <v>7</v>
      </c>
      <c r="W17" s="13">
        <v>0</v>
      </c>
      <c r="X17" s="14"/>
      <c r="Y17" s="10"/>
      <c r="Z17" s="12" t="s">
        <v>7</v>
      </c>
      <c r="AA17" s="58">
        <v>57000</v>
      </c>
      <c r="AB17" s="14"/>
      <c r="AC17" s="10"/>
      <c r="AD17" s="12" t="s">
        <v>7</v>
      </c>
      <c r="AE17" s="13">
        <v>0</v>
      </c>
      <c r="AF17" s="14"/>
      <c r="AG17" s="10"/>
      <c r="AH17" s="12" t="s">
        <v>7</v>
      </c>
      <c r="AI17" s="54">
        <v>75000</v>
      </c>
      <c r="AJ17" s="14"/>
      <c r="AK17" s="10"/>
      <c r="AL17" s="12" t="s">
        <v>7</v>
      </c>
      <c r="AM17" s="13">
        <v>0</v>
      </c>
      <c r="AN17" s="14"/>
      <c r="AO17" s="10"/>
      <c r="AP17" s="12" t="s">
        <v>7</v>
      </c>
      <c r="AQ17" s="13">
        <v>0</v>
      </c>
      <c r="AR17" s="14"/>
      <c r="AS17" s="10"/>
      <c r="AT17" s="12" t="s">
        <v>7</v>
      </c>
      <c r="AU17" s="13">
        <v>0</v>
      </c>
      <c r="AV17" s="14"/>
      <c r="AW17" s="10"/>
      <c r="AX17" s="12" t="s">
        <v>7</v>
      </c>
      <c r="AY17" s="13">
        <v>0</v>
      </c>
      <c r="AZ17" s="14"/>
      <c r="BA17" s="51"/>
    </row>
    <row r="18" spans="1:53" ht="15" customHeight="1">
      <c r="A18" s="11"/>
      <c r="B18" s="12" t="s">
        <v>6</v>
      </c>
      <c r="C18" s="15">
        <v>0</v>
      </c>
      <c r="D18" s="14"/>
      <c r="E18" s="10"/>
      <c r="F18" s="12" t="s">
        <v>6</v>
      </c>
      <c r="G18" s="15">
        <v>0</v>
      </c>
      <c r="H18" s="14"/>
      <c r="I18" s="10"/>
      <c r="J18" s="12" t="s">
        <v>6</v>
      </c>
      <c r="K18" s="15">
        <v>0</v>
      </c>
      <c r="L18" s="14"/>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15">
        <v>0</v>
      </c>
      <c r="AJ18" s="14"/>
      <c r="AK18" s="10"/>
      <c r="AL18" s="12" t="s">
        <v>6</v>
      </c>
      <c r="AM18" s="15">
        <v>0</v>
      </c>
      <c r="AN18" s="14"/>
      <c r="AO18" s="10"/>
      <c r="AP18" s="12" t="s">
        <v>6</v>
      </c>
      <c r="AQ18" s="15">
        <v>0</v>
      </c>
      <c r="AR18" s="14"/>
      <c r="AS18" s="10"/>
      <c r="AT18" s="12" t="s">
        <v>6</v>
      </c>
      <c r="AU18" s="15">
        <v>0</v>
      </c>
      <c r="AV18" s="14"/>
      <c r="AW18" s="10"/>
      <c r="AX18" s="12" t="s">
        <v>6</v>
      </c>
      <c r="AY18" s="15">
        <v>0</v>
      </c>
      <c r="AZ18" s="14"/>
      <c r="BA18" s="51"/>
    </row>
    <row r="19" spans="1:53" ht="15" customHeight="1">
      <c r="A19" s="11"/>
      <c r="B19" s="12" t="s">
        <v>5</v>
      </c>
      <c r="C19" s="13" t="s">
        <v>4</v>
      </c>
      <c r="D19" s="14"/>
      <c r="E19" s="10"/>
      <c r="F19" s="12" t="s">
        <v>5</v>
      </c>
      <c r="G19" s="13" t="s">
        <v>4</v>
      </c>
      <c r="H19" s="14"/>
      <c r="I19" s="10"/>
      <c r="J19" s="12" t="s">
        <v>5</v>
      </c>
      <c r="K19" s="13" t="s">
        <v>4</v>
      </c>
      <c r="L19" s="14"/>
      <c r="M19" s="10"/>
      <c r="N19" s="12" t="s">
        <v>5</v>
      </c>
      <c r="O19" s="13" t="s">
        <v>4</v>
      </c>
      <c r="P19" s="14"/>
      <c r="Q19" s="10"/>
      <c r="R19" s="12" t="s">
        <v>5</v>
      </c>
      <c r="S19" s="13" t="s">
        <v>4</v>
      </c>
      <c r="T19" s="14"/>
      <c r="U19" s="10"/>
      <c r="V19" s="12" t="s">
        <v>5</v>
      </c>
      <c r="W19" s="13" t="s">
        <v>4</v>
      </c>
      <c r="X19" s="14"/>
      <c r="Y19" s="10"/>
      <c r="Z19" s="12" t="s">
        <v>5</v>
      </c>
      <c r="AA19" s="58" t="s">
        <v>265</v>
      </c>
      <c r="AB19" s="14"/>
      <c r="AC19" s="10"/>
      <c r="AD19" s="12" t="s">
        <v>5</v>
      </c>
      <c r="AE19" s="13" t="s">
        <v>4</v>
      </c>
      <c r="AF19" s="14"/>
      <c r="AG19" s="10"/>
      <c r="AH19" s="12" t="s">
        <v>5</v>
      </c>
      <c r="AI19" s="54" t="s">
        <v>251</v>
      </c>
      <c r="AJ19" s="14"/>
      <c r="AK19" s="10"/>
      <c r="AL19" s="12" t="s">
        <v>5</v>
      </c>
      <c r="AM19" s="13" t="s">
        <v>4</v>
      </c>
      <c r="AN19" s="14"/>
      <c r="AO19" s="10"/>
      <c r="AP19" s="12" t="s">
        <v>5</v>
      </c>
      <c r="AQ19" s="13" t="s">
        <v>4</v>
      </c>
      <c r="AR19" s="14"/>
      <c r="AS19" s="10"/>
      <c r="AT19" s="12" t="s">
        <v>5</v>
      </c>
      <c r="AU19" s="13" t="s">
        <v>4</v>
      </c>
      <c r="AV19" s="14"/>
      <c r="AW19" s="10"/>
      <c r="AX19" s="12" t="s">
        <v>5</v>
      </c>
      <c r="AY19" s="13" t="s">
        <v>4</v>
      </c>
      <c r="AZ19" s="14"/>
      <c r="BA19" s="51"/>
    </row>
    <row r="20" spans="1:53" ht="15" customHeight="1">
      <c r="A20" s="11"/>
      <c r="B20" s="12" t="s">
        <v>11</v>
      </c>
      <c r="C20" s="15" t="s">
        <v>13</v>
      </c>
      <c r="D20" s="43">
        <v>0</v>
      </c>
      <c r="E20" s="9"/>
      <c r="F20" s="12" t="s">
        <v>11</v>
      </c>
      <c r="G20" s="15" t="s">
        <v>13</v>
      </c>
      <c r="H20" s="14">
        <v>0</v>
      </c>
      <c r="I20" s="10"/>
      <c r="J20" s="12" t="s">
        <v>11</v>
      </c>
      <c r="K20" s="15" t="s">
        <v>13</v>
      </c>
      <c r="L20" s="14">
        <v>0</v>
      </c>
      <c r="M20" s="10"/>
      <c r="N20" s="12" t="s">
        <v>11</v>
      </c>
      <c r="O20" s="15" t="s">
        <v>13</v>
      </c>
      <c r="P20" s="14">
        <v>0</v>
      </c>
      <c r="Q20" s="10"/>
      <c r="R20" s="12" t="s">
        <v>11</v>
      </c>
      <c r="S20" s="15" t="s">
        <v>13</v>
      </c>
      <c r="T20" s="14">
        <v>0</v>
      </c>
      <c r="U20" s="10"/>
      <c r="V20" s="12" t="s">
        <v>11</v>
      </c>
      <c r="W20" s="15" t="s">
        <v>13</v>
      </c>
      <c r="X20" s="14">
        <v>0</v>
      </c>
      <c r="Y20" s="10"/>
      <c r="Z20" s="12" t="s">
        <v>11</v>
      </c>
      <c r="AA20" s="59" t="s">
        <v>131</v>
      </c>
      <c r="AB20" s="60">
        <v>5000</v>
      </c>
      <c r="AC20" s="10"/>
      <c r="AD20" s="12" t="s">
        <v>11</v>
      </c>
      <c r="AE20" s="15" t="s">
        <v>13</v>
      </c>
      <c r="AF20" s="14">
        <v>0</v>
      </c>
      <c r="AG20" s="10"/>
      <c r="AH20" s="12" t="s">
        <v>11</v>
      </c>
      <c r="AI20" s="54" t="s">
        <v>131</v>
      </c>
      <c r="AJ20" s="55">
        <v>2000</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s="51"/>
    </row>
    <row r="21" spans="1:53" ht="15" customHeight="1">
      <c r="A21" s="11"/>
      <c r="B21" s="12" t="s">
        <v>12</v>
      </c>
      <c r="C21" s="15" t="s">
        <v>13</v>
      </c>
      <c r="D21" s="14">
        <v>0</v>
      </c>
      <c r="E21" s="9"/>
      <c r="F21" s="12" t="s">
        <v>12</v>
      </c>
      <c r="G21" s="15" t="s">
        <v>13</v>
      </c>
      <c r="H21" s="14">
        <v>0</v>
      </c>
      <c r="I21" s="10"/>
      <c r="J21" s="12" t="s">
        <v>12</v>
      </c>
      <c r="K21" s="15" t="s">
        <v>13</v>
      </c>
      <c r="L21" s="14">
        <v>0</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15" t="s">
        <v>13</v>
      </c>
      <c r="AJ21" s="55">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s="51"/>
    </row>
    <row r="22" spans="1:53" ht="15" customHeight="1">
      <c r="A22" s="11"/>
      <c r="B22" s="12" t="s">
        <v>14</v>
      </c>
      <c r="C22" s="15" t="s">
        <v>13</v>
      </c>
      <c r="D22" s="14">
        <v>0</v>
      </c>
      <c r="E22" s="9"/>
      <c r="F22" s="12" t="s">
        <v>14</v>
      </c>
      <c r="G22" s="15" t="s">
        <v>13</v>
      </c>
      <c r="H22" s="14">
        <v>0</v>
      </c>
      <c r="I22" s="10"/>
      <c r="J22" s="12" t="s">
        <v>14</v>
      </c>
      <c r="K22" s="15" t="s">
        <v>13</v>
      </c>
      <c r="L22" s="14">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15" t="s">
        <v>13</v>
      </c>
      <c r="AJ22" s="14">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s="51"/>
    </row>
    <row r="23" spans="1:53" s="20" customFormat="1" ht="5.0999999999999996" customHeight="1">
      <c r="A23" s="17"/>
      <c r="B23" s="18"/>
      <c r="C23" s="18"/>
      <c r="D23" s="18"/>
      <c r="E23" s="19"/>
      <c r="F23" s="18"/>
      <c r="G23" s="18"/>
      <c r="H23" s="18"/>
      <c r="I23" s="19"/>
      <c r="J23" s="18"/>
      <c r="K23" s="56"/>
      <c r="L23" s="56"/>
      <c r="M23" s="19"/>
      <c r="N23" s="18"/>
      <c r="O23" s="18"/>
      <c r="P23" s="18"/>
      <c r="Q23" s="19"/>
      <c r="R23" s="18"/>
      <c r="S23" s="18"/>
      <c r="T23" s="18"/>
      <c r="U23" s="19"/>
      <c r="V23" s="18"/>
      <c r="W23" s="18"/>
      <c r="X23" s="18"/>
      <c r="Y23" s="19"/>
      <c r="Z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s="51"/>
    </row>
    <row r="24" spans="1:53" ht="15" customHeight="1">
      <c r="A24" s="11"/>
      <c r="B24" s="12" t="s">
        <v>7</v>
      </c>
      <c r="C24" s="13">
        <v>0</v>
      </c>
      <c r="D24" s="14"/>
      <c r="E24" s="10"/>
      <c r="F24" s="12" t="s">
        <v>7</v>
      </c>
      <c r="G24" s="13">
        <v>0</v>
      </c>
      <c r="H24" s="14"/>
      <c r="I24" s="10"/>
      <c r="J24" s="12" t="s">
        <v>7</v>
      </c>
      <c r="K24" s="13">
        <v>0</v>
      </c>
      <c r="L24" s="14"/>
      <c r="M24" s="10"/>
      <c r="N24" s="12" t="s">
        <v>7</v>
      </c>
      <c r="O24" s="13">
        <v>0</v>
      </c>
      <c r="P24" s="14"/>
      <c r="Q24" s="10"/>
      <c r="R24" s="12" t="s">
        <v>7</v>
      </c>
      <c r="S24" s="13">
        <v>0</v>
      </c>
      <c r="T24" s="14"/>
      <c r="U24" s="10"/>
      <c r="V24" s="12" t="s">
        <v>7</v>
      </c>
      <c r="W24" s="13">
        <v>0</v>
      </c>
      <c r="X24" s="14"/>
      <c r="Y24" s="10"/>
      <c r="Z24" s="12" t="s">
        <v>7</v>
      </c>
      <c r="AA24" s="44">
        <v>50000</v>
      </c>
      <c r="AB24" s="43"/>
      <c r="AC24" s="10"/>
      <c r="AD24" s="12" t="s">
        <v>7</v>
      </c>
      <c r="AE24" s="13">
        <v>0</v>
      </c>
      <c r="AF24" s="14"/>
      <c r="AG24" s="10"/>
      <c r="AH24" s="12" t="s">
        <v>7</v>
      </c>
      <c r="AI24" s="54">
        <v>72000</v>
      </c>
      <c r="AJ24" s="14"/>
      <c r="AK24" s="10"/>
      <c r="AL24" s="12" t="s">
        <v>7</v>
      </c>
      <c r="AM24" s="13">
        <v>0</v>
      </c>
      <c r="AN24" s="14"/>
      <c r="AO24" s="10"/>
      <c r="AP24" s="12" t="s">
        <v>7</v>
      </c>
      <c r="AQ24" s="13">
        <v>0</v>
      </c>
      <c r="AR24" s="14"/>
      <c r="AS24" s="10"/>
      <c r="AT24" s="12" t="s">
        <v>7</v>
      </c>
      <c r="AU24" s="13">
        <v>0</v>
      </c>
      <c r="AV24" s="14"/>
      <c r="AW24" s="10"/>
      <c r="AX24" s="12" t="s">
        <v>7</v>
      </c>
      <c r="AY24" s="13">
        <v>0</v>
      </c>
      <c r="AZ24" s="14"/>
      <c r="BA24" s="51"/>
    </row>
    <row r="25" spans="1:53" ht="15" customHeight="1">
      <c r="A25" s="11"/>
      <c r="B25" s="12" t="s">
        <v>6</v>
      </c>
      <c r="C25" s="15">
        <v>0</v>
      </c>
      <c r="D25" s="14"/>
      <c r="E25" s="10"/>
      <c r="F25" s="12" t="s">
        <v>6</v>
      </c>
      <c r="G25" s="15">
        <v>0</v>
      </c>
      <c r="H25" s="14"/>
      <c r="I25" s="10"/>
      <c r="J25" s="12" t="s">
        <v>6</v>
      </c>
      <c r="K25" s="15">
        <v>0</v>
      </c>
      <c r="L25" s="14"/>
      <c r="M25" s="10"/>
      <c r="N25" s="12" t="s">
        <v>6</v>
      </c>
      <c r="O25" s="15">
        <v>0</v>
      </c>
      <c r="P25" s="14"/>
      <c r="Q25" s="10"/>
      <c r="R25" s="12" t="s">
        <v>6</v>
      </c>
      <c r="S25" s="15">
        <v>0</v>
      </c>
      <c r="T25" s="14"/>
      <c r="U25" s="10"/>
      <c r="V25" s="12" t="s">
        <v>6</v>
      </c>
      <c r="W25" s="15">
        <v>0</v>
      </c>
      <c r="X25" s="14"/>
      <c r="Y25" s="10"/>
      <c r="Z25" s="12" t="s">
        <v>6</v>
      </c>
      <c r="AA25" s="44">
        <v>0</v>
      </c>
      <c r="AB25" s="43"/>
      <c r="AC25" s="10"/>
      <c r="AD25" s="12" t="s">
        <v>6</v>
      </c>
      <c r="AE25" s="15">
        <v>0</v>
      </c>
      <c r="AF25" s="14"/>
      <c r="AG25" s="10"/>
      <c r="AH25" s="12" t="s">
        <v>6</v>
      </c>
      <c r="AI25" s="15">
        <v>0</v>
      </c>
      <c r="AJ25" s="14"/>
      <c r="AK25" s="10"/>
      <c r="AL25" s="12" t="s">
        <v>6</v>
      </c>
      <c r="AM25" s="15">
        <v>0</v>
      </c>
      <c r="AN25" s="14"/>
      <c r="AO25" s="10"/>
      <c r="AP25" s="12" t="s">
        <v>6</v>
      </c>
      <c r="AQ25" s="15">
        <v>0</v>
      </c>
      <c r="AR25" s="14"/>
      <c r="AS25" s="10"/>
      <c r="AT25" s="12" t="s">
        <v>6</v>
      </c>
      <c r="AU25" s="15">
        <v>0</v>
      </c>
      <c r="AV25" s="14"/>
      <c r="AW25" s="10"/>
      <c r="AX25" s="12" t="s">
        <v>6</v>
      </c>
      <c r="AY25" s="15">
        <v>0</v>
      </c>
      <c r="AZ25" s="14"/>
      <c r="BA25" s="51"/>
    </row>
    <row r="26" spans="1:53" ht="15" customHeight="1">
      <c r="A26" s="11"/>
      <c r="B26" s="12" t="s">
        <v>5</v>
      </c>
      <c r="C26" s="13" t="s">
        <v>4</v>
      </c>
      <c r="D26" s="14"/>
      <c r="E26" s="10"/>
      <c r="F26" s="12" t="s">
        <v>5</v>
      </c>
      <c r="G26" s="13" t="s">
        <v>4</v>
      </c>
      <c r="H26" s="14"/>
      <c r="I26" s="10"/>
      <c r="J26" s="12" t="s">
        <v>5</v>
      </c>
      <c r="K26" s="13" t="s">
        <v>4</v>
      </c>
      <c r="L26" s="14"/>
      <c r="M26" s="10"/>
      <c r="N26" s="12" t="s">
        <v>5</v>
      </c>
      <c r="O26" s="13" t="s">
        <v>4</v>
      </c>
      <c r="P26" s="14"/>
      <c r="Q26" s="10"/>
      <c r="R26" s="12" t="s">
        <v>5</v>
      </c>
      <c r="S26" s="13" t="s">
        <v>4</v>
      </c>
      <c r="T26" s="14"/>
      <c r="U26" s="10"/>
      <c r="V26" s="12" t="s">
        <v>5</v>
      </c>
      <c r="W26" s="13" t="s">
        <v>4</v>
      </c>
      <c r="X26" s="14"/>
      <c r="Y26" s="10"/>
      <c r="Z26" s="12" t="s">
        <v>5</v>
      </c>
      <c r="AA26" s="44" t="s">
        <v>113</v>
      </c>
      <c r="AB26" s="43"/>
      <c r="AC26" s="10"/>
      <c r="AD26" s="12" t="s">
        <v>5</v>
      </c>
      <c r="AE26" s="13" t="s">
        <v>4</v>
      </c>
      <c r="AF26" s="14"/>
      <c r="AG26" s="10"/>
      <c r="AH26" s="12" t="s">
        <v>5</v>
      </c>
      <c r="AI26" s="54" t="s">
        <v>257</v>
      </c>
      <c r="AJ26" s="14"/>
      <c r="AK26" s="10"/>
      <c r="AL26" s="12" t="s">
        <v>5</v>
      </c>
      <c r="AM26" s="13" t="s">
        <v>4</v>
      </c>
      <c r="AN26" s="14"/>
      <c r="AO26" s="10"/>
      <c r="AP26" s="12" t="s">
        <v>5</v>
      </c>
      <c r="AQ26" s="13" t="s">
        <v>4</v>
      </c>
      <c r="AR26" s="14"/>
      <c r="AS26" s="10"/>
      <c r="AT26" s="12" t="s">
        <v>5</v>
      </c>
      <c r="AU26" s="13" t="s">
        <v>4</v>
      </c>
      <c r="AV26" s="14"/>
      <c r="AW26" s="10"/>
      <c r="AX26" s="12" t="s">
        <v>5</v>
      </c>
      <c r="AY26" s="13" t="s">
        <v>4</v>
      </c>
      <c r="AZ26" s="14"/>
      <c r="BA26" s="51"/>
    </row>
    <row r="27" spans="1:53" ht="15" customHeight="1">
      <c r="A27" s="11"/>
      <c r="B27" s="12" t="s">
        <v>11</v>
      </c>
      <c r="C27" s="15" t="s">
        <v>13</v>
      </c>
      <c r="D27" s="43">
        <v>0</v>
      </c>
      <c r="E27" s="9"/>
      <c r="F27" s="12" t="s">
        <v>11</v>
      </c>
      <c r="G27" s="15" t="s">
        <v>13</v>
      </c>
      <c r="H27" s="14">
        <v>0</v>
      </c>
      <c r="I27" s="10"/>
      <c r="J27" s="12" t="s">
        <v>11</v>
      </c>
      <c r="K27" s="15" t="s">
        <v>13</v>
      </c>
      <c r="L27" s="14">
        <v>0</v>
      </c>
      <c r="M27" s="10"/>
      <c r="N27" s="12" t="s">
        <v>11</v>
      </c>
      <c r="O27" s="15" t="s">
        <v>13</v>
      </c>
      <c r="P27" s="14">
        <v>0</v>
      </c>
      <c r="Q27" s="10"/>
      <c r="R27" s="12" t="s">
        <v>11</v>
      </c>
      <c r="S27" s="15" t="s">
        <v>13</v>
      </c>
      <c r="T27" s="14">
        <v>0</v>
      </c>
      <c r="U27" s="10"/>
      <c r="V27" s="12" t="s">
        <v>11</v>
      </c>
      <c r="W27" s="15" t="s">
        <v>13</v>
      </c>
      <c r="X27" s="14">
        <v>0</v>
      </c>
      <c r="Y27" s="10"/>
      <c r="Z27" s="12" t="s">
        <v>11</v>
      </c>
      <c r="AA27" s="44" t="s">
        <v>131</v>
      </c>
      <c r="AB27" s="43">
        <v>1999</v>
      </c>
      <c r="AC27" s="10"/>
      <c r="AD27" s="12" t="s">
        <v>11</v>
      </c>
      <c r="AE27" s="15" t="s">
        <v>13</v>
      </c>
      <c r="AF27" s="14">
        <v>0</v>
      </c>
      <c r="AG27" s="10"/>
      <c r="AH27" s="12" t="s">
        <v>11</v>
      </c>
      <c r="AI27" s="54" t="s">
        <v>131</v>
      </c>
      <c r="AJ27" s="55">
        <v>2000</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s="51"/>
    </row>
    <row r="28" spans="1:53" ht="15" customHeight="1">
      <c r="A28" s="11"/>
      <c r="B28" s="12" t="s">
        <v>12</v>
      </c>
      <c r="C28" s="15" t="s">
        <v>13</v>
      </c>
      <c r="D28" s="14">
        <v>0</v>
      </c>
      <c r="E28" s="9"/>
      <c r="F28" s="12" t="s">
        <v>12</v>
      </c>
      <c r="G28" s="15" t="s">
        <v>13</v>
      </c>
      <c r="H28" s="16">
        <v>0</v>
      </c>
      <c r="I28" s="10"/>
      <c r="J28" s="12" t="s">
        <v>12</v>
      </c>
      <c r="K28" s="15" t="s">
        <v>13</v>
      </c>
      <c r="L28" s="14">
        <v>0</v>
      </c>
      <c r="M28" s="10"/>
      <c r="N28" s="12" t="s">
        <v>12</v>
      </c>
      <c r="O28" s="15" t="s">
        <v>13</v>
      </c>
      <c r="P28" s="16">
        <v>0</v>
      </c>
      <c r="Q28" s="10"/>
      <c r="R28" s="12" t="s">
        <v>12</v>
      </c>
      <c r="S28" s="15" t="s">
        <v>13</v>
      </c>
      <c r="T28" s="16">
        <v>0</v>
      </c>
      <c r="U28" s="10"/>
      <c r="V28" s="12" t="s">
        <v>12</v>
      </c>
      <c r="W28" s="15" t="s">
        <v>13</v>
      </c>
      <c r="X28" s="16">
        <v>0</v>
      </c>
      <c r="Y28" s="10"/>
      <c r="Z28" s="12" t="s">
        <v>12</v>
      </c>
      <c r="AA28" s="15" t="s">
        <v>13</v>
      </c>
      <c r="AB28" s="14">
        <v>0</v>
      </c>
      <c r="AC28" s="10"/>
      <c r="AD28" s="12" t="s">
        <v>12</v>
      </c>
      <c r="AE28" s="15" t="s">
        <v>13</v>
      </c>
      <c r="AF28" s="16">
        <v>0</v>
      </c>
      <c r="AG28" s="10"/>
      <c r="AH28" s="12" t="s">
        <v>12</v>
      </c>
      <c r="AI28" s="44" t="s">
        <v>268</v>
      </c>
      <c r="AJ28" s="43">
        <v>5000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s="51"/>
    </row>
    <row r="29" spans="1:53" ht="15" customHeight="1">
      <c r="A29" s="11"/>
      <c r="B29" s="12" t="s">
        <v>14</v>
      </c>
      <c r="C29" s="15" t="s">
        <v>13</v>
      </c>
      <c r="D29" s="14">
        <v>0</v>
      </c>
      <c r="E29" s="9"/>
      <c r="F29" s="12" t="s">
        <v>14</v>
      </c>
      <c r="G29" s="15" t="s">
        <v>13</v>
      </c>
      <c r="H29" s="14">
        <v>0</v>
      </c>
      <c r="I29" s="10"/>
      <c r="J29" s="12" t="s">
        <v>14</v>
      </c>
      <c r="K29" s="15" t="s">
        <v>13</v>
      </c>
      <c r="L29" s="14">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15" t="s">
        <v>13</v>
      </c>
      <c r="AJ29" s="14">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s="51"/>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s="51"/>
    </row>
    <row r="31" spans="1:53" ht="15" customHeight="1">
      <c r="A31" s="11"/>
      <c r="B31" s="12" t="s">
        <v>7</v>
      </c>
      <c r="C31" s="13">
        <v>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44">
        <v>49000</v>
      </c>
      <c r="AB31" s="43"/>
      <c r="AC31" s="10"/>
      <c r="AD31" s="12" t="s">
        <v>7</v>
      </c>
      <c r="AE31" s="13">
        <v>0</v>
      </c>
      <c r="AF31" s="14"/>
      <c r="AG31" s="10"/>
      <c r="AH31" s="12" t="s">
        <v>7</v>
      </c>
      <c r="AI31" s="44">
        <v>69000</v>
      </c>
      <c r="AJ31" s="14"/>
      <c r="AK31" s="10"/>
      <c r="AL31" s="12" t="s">
        <v>7</v>
      </c>
      <c r="AM31" s="13">
        <v>0</v>
      </c>
      <c r="AN31" s="14"/>
      <c r="AO31" s="10"/>
      <c r="AP31" s="12" t="s">
        <v>7</v>
      </c>
      <c r="AQ31" s="13">
        <v>0</v>
      </c>
      <c r="AR31" s="14"/>
      <c r="AS31" s="10"/>
      <c r="AT31" s="12" t="s">
        <v>7</v>
      </c>
      <c r="AU31" s="13">
        <v>0</v>
      </c>
      <c r="AV31" s="14"/>
      <c r="AW31" s="10"/>
      <c r="AX31" s="12" t="s">
        <v>7</v>
      </c>
      <c r="AY31" s="13">
        <v>0</v>
      </c>
      <c r="AZ31" s="14"/>
      <c r="BA31" s="5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44">
        <v>0</v>
      </c>
      <c r="AB32" s="43"/>
      <c r="AC32" s="10"/>
      <c r="AD32" s="12" t="s">
        <v>6</v>
      </c>
      <c r="AE32" s="15">
        <v>0</v>
      </c>
      <c r="AF32" s="14"/>
      <c r="AG32" s="10"/>
      <c r="AH32" s="12" t="s">
        <v>6</v>
      </c>
      <c r="AI32" s="15">
        <v>0</v>
      </c>
      <c r="AJ32" s="14"/>
      <c r="AK32" s="10"/>
      <c r="AL32" s="12" t="s">
        <v>6</v>
      </c>
      <c r="AM32" s="15">
        <v>0</v>
      </c>
      <c r="AN32" s="14"/>
      <c r="AO32" s="10"/>
      <c r="AP32" s="12" t="s">
        <v>6</v>
      </c>
      <c r="AQ32" s="15">
        <v>0</v>
      </c>
      <c r="AR32" s="14"/>
      <c r="AS32" s="10"/>
      <c r="AT32" s="12" t="s">
        <v>6</v>
      </c>
      <c r="AU32" s="15">
        <v>0</v>
      </c>
      <c r="AV32" s="14"/>
      <c r="AW32" s="10"/>
      <c r="AX32" s="12" t="s">
        <v>6</v>
      </c>
      <c r="AY32" s="15">
        <v>0</v>
      </c>
      <c r="AZ32" s="14"/>
      <c r="BA32" s="51"/>
    </row>
    <row r="33" spans="1:53" ht="15" customHeight="1">
      <c r="A33" s="11"/>
      <c r="B33" s="12" t="s">
        <v>5</v>
      </c>
      <c r="C33" s="13" t="s">
        <v>4</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44" t="s">
        <v>112</v>
      </c>
      <c r="AB33" s="43"/>
      <c r="AC33" s="10"/>
      <c r="AD33" s="12" t="s">
        <v>5</v>
      </c>
      <c r="AE33" s="13" t="s">
        <v>4</v>
      </c>
      <c r="AF33" s="14"/>
      <c r="AG33" s="10"/>
      <c r="AH33" s="12" t="s">
        <v>5</v>
      </c>
      <c r="AI33" s="54" t="s">
        <v>266</v>
      </c>
      <c r="AJ33" s="14"/>
      <c r="AK33" s="10"/>
      <c r="AL33" s="12" t="s">
        <v>5</v>
      </c>
      <c r="AM33" s="13" t="s">
        <v>4</v>
      </c>
      <c r="AN33" s="14"/>
      <c r="AO33" s="10"/>
      <c r="AP33" s="12" t="s">
        <v>5</v>
      </c>
      <c r="AQ33" s="13" t="s">
        <v>4</v>
      </c>
      <c r="AR33" s="14"/>
      <c r="AS33" s="10"/>
      <c r="AT33" s="12" t="s">
        <v>5</v>
      </c>
      <c r="AU33" s="13" t="s">
        <v>4</v>
      </c>
      <c r="AV33" s="14"/>
      <c r="AW33" s="10"/>
      <c r="AX33" s="12" t="s">
        <v>5</v>
      </c>
      <c r="AY33" s="13" t="s">
        <v>4</v>
      </c>
      <c r="AZ33" s="14"/>
      <c r="BA33" s="51"/>
    </row>
    <row r="34" spans="1:53" ht="15" customHeight="1">
      <c r="A34" s="11"/>
      <c r="B34" s="12" t="s">
        <v>11</v>
      </c>
      <c r="C34" s="15" t="s">
        <v>13</v>
      </c>
      <c r="D34" s="43">
        <v>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44" t="s">
        <v>131</v>
      </c>
      <c r="AB34" s="43">
        <v>1999</v>
      </c>
      <c r="AC34" s="10"/>
      <c r="AD34" s="12" t="s">
        <v>11</v>
      </c>
      <c r="AE34" s="15" t="s">
        <v>13</v>
      </c>
      <c r="AF34" s="14">
        <v>0</v>
      </c>
      <c r="AG34" s="10"/>
      <c r="AH34" s="12" t="s">
        <v>11</v>
      </c>
      <c r="AI34" s="54" t="s">
        <v>131</v>
      </c>
      <c r="AJ34" s="43">
        <v>2000</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s="51"/>
    </row>
    <row r="35" spans="1:53" ht="15" customHeight="1">
      <c r="A35" s="11"/>
      <c r="B35" s="12" t="s">
        <v>12</v>
      </c>
      <c r="C35" s="15" t="s">
        <v>13</v>
      </c>
      <c r="D35" s="43">
        <v>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4">
        <v>0</v>
      </c>
      <c r="AC35" s="10"/>
      <c r="AD35" s="12" t="s">
        <v>12</v>
      </c>
      <c r="AE35" s="15" t="s">
        <v>13</v>
      </c>
      <c r="AF35" s="16">
        <v>0</v>
      </c>
      <c r="AG35" s="10"/>
      <c r="AH35" s="12" t="s">
        <v>12</v>
      </c>
      <c r="AI35" s="15" t="s">
        <v>13</v>
      </c>
      <c r="AJ35" s="16">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s="51"/>
    </row>
    <row r="36" spans="1:53" ht="15" customHeight="1">
      <c r="A36" s="11"/>
      <c r="B36" s="12" t="s">
        <v>14</v>
      </c>
      <c r="C36" s="15" t="s">
        <v>13</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s="51"/>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s="51"/>
    </row>
    <row r="38" spans="1:53" ht="15" customHeight="1">
      <c r="A38" s="11"/>
      <c r="B38" s="12" t="s">
        <v>7</v>
      </c>
      <c r="C38" s="44">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44">
        <v>48000</v>
      </c>
      <c r="AB38" s="43"/>
      <c r="AC38" s="10"/>
      <c r="AD38" s="12" t="s">
        <v>7</v>
      </c>
      <c r="AE38" s="13">
        <v>0</v>
      </c>
      <c r="AF38" s="14"/>
      <c r="AG38" s="10"/>
      <c r="AH38" s="12" t="s">
        <v>7</v>
      </c>
      <c r="AI38" s="44">
        <v>67000</v>
      </c>
      <c r="AJ38" s="14"/>
      <c r="AK38" s="10"/>
      <c r="AL38" s="12" t="s">
        <v>7</v>
      </c>
      <c r="AM38" s="13">
        <v>0</v>
      </c>
      <c r="AN38" s="14"/>
      <c r="AO38" s="10"/>
      <c r="AP38" s="12" t="s">
        <v>7</v>
      </c>
      <c r="AQ38" s="13">
        <v>0</v>
      </c>
      <c r="AR38" s="14"/>
      <c r="AS38" s="10"/>
      <c r="AT38" s="12" t="s">
        <v>7</v>
      </c>
      <c r="AU38" s="13">
        <v>0</v>
      </c>
      <c r="AV38" s="14"/>
      <c r="AW38" s="10"/>
      <c r="AX38" s="12" t="s">
        <v>7</v>
      </c>
      <c r="AY38" s="13">
        <v>0</v>
      </c>
      <c r="AZ38" s="14"/>
      <c r="BA38" s="51"/>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44">
        <v>0</v>
      </c>
      <c r="AB39" s="43"/>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s="51"/>
    </row>
    <row r="40" spans="1:53"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44" t="s">
        <v>33</v>
      </c>
      <c r="AB40" s="43"/>
      <c r="AC40" s="10"/>
      <c r="AD40" s="12" t="s">
        <v>5</v>
      </c>
      <c r="AE40" s="13" t="s">
        <v>4</v>
      </c>
      <c r="AF40" s="14"/>
      <c r="AG40" s="10"/>
      <c r="AH40" s="12" t="s">
        <v>5</v>
      </c>
      <c r="AI40" s="54" t="s">
        <v>267</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s="51"/>
    </row>
    <row r="41" spans="1:53" ht="15" customHeight="1">
      <c r="A41" s="11"/>
      <c r="B41" s="12" t="s">
        <v>11</v>
      </c>
      <c r="C41" s="15" t="s">
        <v>13</v>
      </c>
      <c r="D41" s="43">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44" t="s">
        <v>131</v>
      </c>
      <c r="AB41" s="43">
        <v>1999</v>
      </c>
      <c r="AC41" s="10"/>
      <c r="AD41" s="12" t="s">
        <v>11</v>
      </c>
      <c r="AE41" s="15" t="s">
        <v>13</v>
      </c>
      <c r="AF41" s="14">
        <v>0</v>
      </c>
      <c r="AG41" s="10"/>
      <c r="AH41" s="12" t="s">
        <v>11</v>
      </c>
      <c r="AI41" s="54" t="s">
        <v>131</v>
      </c>
      <c r="AJ41" s="55">
        <v>2000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s="51"/>
    </row>
    <row r="42" spans="1:53" ht="15" customHeight="1">
      <c r="A42" s="11"/>
      <c r="B42" s="12" t="s">
        <v>12</v>
      </c>
      <c r="C42" s="15" t="s">
        <v>13</v>
      </c>
      <c r="D42" s="43">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4">
        <v>0</v>
      </c>
      <c r="AC42" s="10"/>
      <c r="AD42" s="12" t="s">
        <v>12</v>
      </c>
      <c r="AE42" s="15" t="s">
        <v>13</v>
      </c>
      <c r="AF42" s="16">
        <v>0</v>
      </c>
      <c r="AG42" s="10"/>
      <c r="AH42" s="12" t="s">
        <v>12</v>
      </c>
      <c r="AI42" s="15" t="s">
        <v>13</v>
      </c>
      <c r="AJ42" s="16">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s="51"/>
    </row>
    <row r="43" spans="1:53" ht="15" customHeight="1">
      <c r="A43" s="11"/>
      <c r="B43" s="12" t="s">
        <v>14</v>
      </c>
      <c r="C43" s="15" t="s">
        <v>13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s="51"/>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s="51"/>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44">
        <v>65000</v>
      </c>
      <c r="AJ45" s="14"/>
      <c r="AK45" s="10"/>
      <c r="AL45" s="12" t="s">
        <v>7</v>
      </c>
      <c r="AM45" s="13">
        <v>0</v>
      </c>
      <c r="AN45" s="14"/>
      <c r="AO45" s="10"/>
      <c r="AP45" s="12" t="s">
        <v>7</v>
      </c>
      <c r="AQ45" s="13">
        <v>0</v>
      </c>
      <c r="AR45" s="14"/>
      <c r="AS45" s="10"/>
      <c r="AT45" s="12" t="s">
        <v>7</v>
      </c>
      <c r="AU45" s="13">
        <v>0</v>
      </c>
      <c r="AV45" s="14"/>
      <c r="AW45" s="10"/>
      <c r="AX45" s="12" t="s">
        <v>7</v>
      </c>
      <c r="AY45" s="13">
        <v>0</v>
      </c>
      <c r="AZ45" s="14"/>
      <c r="BA45" s="51"/>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s="51"/>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54" t="s">
        <v>269</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s="51"/>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54" t="s">
        <v>131</v>
      </c>
      <c r="AJ48" s="43">
        <v>2000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s="51"/>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6">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s="51"/>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s="51"/>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s="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13">
        <v>0</v>
      </c>
      <c r="AJ52" s="14"/>
      <c r="AK52" s="10"/>
      <c r="AL52" s="12" t="s">
        <v>7</v>
      </c>
      <c r="AM52" s="13">
        <v>0</v>
      </c>
      <c r="AN52" s="14"/>
      <c r="AO52" s="10"/>
      <c r="AP52" s="12" t="s">
        <v>7</v>
      </c>
      <c r="AQ52" s="13">
        <v>0</v>
      </c>
      <c r="AR52" s="14"/>
      <c r="AS52" s="10"/>
      <c r="AT52" s="12" t="s">
        <v>7</v>
      </c>
      <c r="AU52" s="13">
        <v>0</v>
      </c>
      <c r="AV52" s="14"/>
      <c r="AW52" s="10"/>
      <c r="AX52" s="12" t="s">
        <v>7</v>
      </c>
      <c r="AY52" s="13">
        <v>0</v>
      </c>
      <c r="AZ52" s="14"/>
      <c r="BA52" s="51"/>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s="51"/>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13" t="s">
        <v>4</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s="51"/>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15" t="s">
        <v>13</v>
      </c>
      <c r="AJ55" s="14">
        <v>0</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s="51"/>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s="51"/>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s="51"/>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s="51"/>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s="51"/>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s="51"/>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s="5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s="51"/>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s="51"/>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s="51"/>
    </row>
    <row r="65" spans="1:53"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s="51"/>
    </row>
    <row r="66" spans="1:53"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s="51"/>
    </row>
    <row r="67" spans="1:53"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s="51"/>
    </row>
    <row r="68" spans="1:53"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s="51"/>
    </row>
    <row r="69" spans="1:53"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s="51"/>
    </row>
    <row r="70" spans="1:53"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s="51"/>
    </row>
    <row r="71" spans="1:53"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s="51"/>
    </row>
    <row r="72" spans="1:53"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s="51"/>
    </row>
    <row r="73" spans="1:53" ht="15" customHeight="1">
      <c r="A73" s="11"/>
      <c r="B73" s="22" t="s">
        <v>8</v>
      </c>
      <c r="C73" s="23">
        <v>200</v>
      </c>
      <c r="D73" s="24"/>
      <c r="E73" s="25"/>
      <c r="F73" s="22" t="s">
        <v>8</v>
      </c>
      <c r="G73" s="23">
        <v>1000</v>
      </c>
      <c r="H73" s="24"/>
      <c r="I73" s="25"/>
      <c r="J73" s="22" t="s">
        <v>8</v>
      </c>
      <c r="K73" s="23">
        <v>1000</v>
      </c>
      <c r="L73" s="24"/>
      <c r="M73" s="25"/>
      <c r="N73" s="22" t="s">
        <v>8</v>
      </c>
      <c r="O73" s="23">
        <v>2000</v>
      </c>
      <c r="P73" s="24"/>
      <c r="Q73" s="25"/>
      <c r="R73" s="22" t="s">
        <v>8</v>
      </c>
      <c r="S73" s="23">
        <v>0</v>
      </c>
      <c r="T73" s="24"/>
      <c r="U73" s="25"/>
      <c r="V73" s="22" t="s">
        <v>8</v>
      </c>
      <c r="W73" s="23">
        <v>5000</v>
      </c>
      <c r="X73" s="24"/>
      <c r="Y73" s="25"/>
      <c r="Z73" s="22" t="s">
        <v>8</v>
      </c>
      <c r="AA73" s="23">
        <v>1000</v>
      </c>
      <c r="AB73" s="24"/>
      <c r="AC73" s="25"/>
      <c r="AD73" s="22" t="s">
        <v>8</v>
      </c>
      <c r="AE73" s="23">
        <v>1000</v>
      </c>
      <c r="AF73" s="24"/>
      <c r="AG73" s="25"/>
      <c r="AH73" s="22" t="s">
        <v>8</v>
      </c>
      <c r="AI73" s="23">
        <v>1000</v>
      </c>
      <c r="AJ73" s="24"/>
      <c r="AK73" s="25"/>
      <c r="AL73" s="22" t="s">
        <v>8</v>
      </c>
      <c r="AM73" s="23">
        <v>0</v>
      </c>
      <c r="AN73" s="24"/>
      <c r="AO73" s="25"/>
      <c r="AP73" s="22" t="s">
        <v>8</v>
      </c>
      <c r="AQ73" s="23">
        <v>0</v>
      </c>
      <c r="AR73" s="24"/>
      <c r="AS73" s="25"/>
      <c r="AT73" s="22" t="s">
        <v>8</v>
      </c>
      <c r="AU73" s="23">
        <v>0</v>
      </c>
      <c r="AV73" s="24"/>
      <c r="AW73" s="25"/>
      <c r="AX73" s="22" t="s">
        <v>8</v>
      </c>
      <c r="AY73" s="23">
        <v>0</v>
      </c>
      <c r="AZ73" s="24"/>
      <c r="BA73" s="51"/>
    </row>
    <row r="74" spans="1:53"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1</v>
      </c>
      <c r="X74" s="28"/>
      <c r="Y74" s="25"/>
      <c r="Z74" s="26" t="s">
        <v>10</v>
      </c>
      <c r="AA74" s="45">
        <v>1</v>
      </c>
      <c r="AB74" s="28"/>
      <c r="AC74" s="25"/>
      <c r="AD74" s="26" t="s">
        <v>10</v>
      </c>
      <c r="AE74" s="27">
        <v>1</v>
      </c>
      <c r="AF74" s="28"/>
      <c r="AG74" s="25"/>
      <c r="AH74" s="26" t="s">
        <v>10</v>
      </c>
      <c r="AI74" s="45">
        <v>1</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s="51"/>
    </row>
    <row r="75" spans="1:53" s="32" customFormat="1" ht="15.7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21</v>
      </c>
      <c r="AN75" s="28"/>
      <c r="AO75" s="31"/>
      <c r="AP75" s="26" t="s">
        <v>18</v>
      </c>
      <c r="AQ75" s="27" t="s">
        <v>21</v>
      </c>
      <c r="AR75" s="28"/>
      <c r="AS75" s="31"/>
      <c r="AT75" s="26" t="s">
        <v>18</v>
      </c>
      <c r="AU75" s="27" t="s">
        <v>21</v>
      </c>
      <c r="AV75" s="28"/>
      <c r="AW75" s="31"/>
      <c r="AX75" s="26" t="s">
        <v>18</v>
      </c>
      <c r="AY75" s="27" t="s">
        <v>21</v>
      </c>
      <c r="AZ75" s="28"/>
      <c r="BA75" s="51"/>
    </row>
    <row r="76" spans="1:53" s="7" customFormat="1" ht="15.75">
      <c r="A76" s="51"/>
      <c r="B76" s="51"/>
      <c r="C76" s="51"/>
      <c r="D76" s="51"/>
      <c r="E76" s="51"/>
      <c r="F76" s="51"/>
      <c r="G76" s="51"/>
      <c r="H76" s="51"/>
      <c r="I76" s="5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row>
    <row r="77" spans="1:53" s="7" customFormat="1" ht="15.75">
      <c r="A77" s="51"/>
      <c r="B77" s="35" t="s">
        <v>119</v>
      </c>
      <c r="C77" s="36" t="s">
        <v>68</v>
      </c>
      <c r="D77" s="4" t="s">
        <v>36</v>
      </c>
      <c r="E77" s="51"/>
      <c r="F77" s="35" t="s">
        <v>119</v>
      </c>
      <c r="G77" s="36" t="s">
        <v>132</v>
      </c>
      <c r="H77" s="4" t="s">
        <v>36</v>
      </c>
      <c r="I77" s="51"/>
      <c r="J77" s="35" t="s">
        <v>5</v>
      </c>
      <c r="K77" s="47" t="s">
        <v>33</v>
      </c>
      <c r="L77" s="48" t="s">
        <v>36</v>
      </c>
      <c r="M77" s="51"/>
      <c r="N77" s="35" t="s">
        <v>5</v>
      </c>
      <c r="O77" s="36" t="s">
        <v>19</v>
      </c>
      <c r="P77" s="4" t="s">
        <v>37</v>
      </c>
      <c r="Q77" s="51"/>
      <c r="R77" s="35" t="s">
        <v>5</v>
      </c>
      <c r="S77" s="36" t="s">
        <v>51</v>
      </c>
      <c r="T77" s="4" t="s">
        <v>36</v>
      </c>
      <c r="U77" s="51"/>
      <c r="V77" s="35" t="s">
        <v>5</v>
      </c>
      <c r="W77" s="36" t="s">
        <v>52</v>
      </c>
      <c r="X77" s="48" t="s">
        <v>37</v>
      </c>
      <c r="Y77" s="51"/>
      <c r="Z77" s="35" t="s">
        <v>5</v>
      </c>
      <c r="AA77" s="36" t="s">
        <v>53</v>
      </c>
      <c r="AB77" s="48" t="s">
        <v>37</v>
      </c>
      <c r="AC77" s="51"/>
      <c r="AD77" s="35" t="s">
        <v>5</v>
      </c>
      <c r="AE77" s="36" t="s">
        <v>143</v>
      </c>
      <c r="AF77" s="4" t="s">
        <v>37</v>
      </c>
      <c r="AG77" s="51"/>
      <c r="AH77" s="35" t="s">
        <v>5</v>
      </c>
      <c r="AI77" s="36" t="s">
        <v>144</v>
      </c>
      <c r="AJ77" s="4" t="s">
        <v>36</v>
      </c>
      <c r="AK77" s="51"/>
      <c r="AL77" s="35" t="s">
        <v>5</v>
      </c>
      <c r="AM77" s="36" t="s">
        <v>145</v>
      </c>
      <c r="AN77" s="4" t="s">
        <v>37</v>
      </c>
      <c r="AO77" s="51"/>
      <c r="AP77" s="35" t="s">
        <v>5</v>
      </c>
      <c r="AQ77" s="36" t="s">
        <v>145</v>
      </c>
      <c r="AR77" s="4" t="s">
        <v>37</v>
      </c>
      <c r="AS77" s="51"/>
      <c r="AT77" s="35" t="s">
        <v>5</v>
      </c>
      <c r="AU77" s="36" t="s">
        <v>145</v>
      </c>
      <c r="AV77" s="4" t="s">
        <v>37</v>
      </c>
      <c r="AW77" s="51"/>
      <c r="AX77" s="35" t="s">
        <v>5</v>
      </c>
      <c r="AY77" s="47" t="s">
        <v>193</v>
      </c>
      <c r="AZ77" s="48" t="s">
        <v>36</v>
      </c>
      <c r="BA77" s="51"/>
    </row>
    <row r="78" spans="1:53" s="7" customFormat="1" ht="15.75">
      <c r="A78" s="51"/>
      <c r="B78" s="35" t="s">
        <v>38</v>
      </c>
      <c r="C78" s="36" t="s">
        <v>126</v>
      </c>
      <c r="D78" s="38" t="s">
        <v>120</v>
      </c>
      <c r="E78" s="51"/>
      <c r="F78" s="35" t="s">
        <v>38</v>
      </c>
      <c r="G78" s="36" t="s">
        <v>126</v>
      </c>
      <c r="H78" s="38" t="s">
        <v>120</v>
      </c>
      <c r="I78" s="51"/>
      <c r="J78" s="35" t="s">
        <v>38</v>
      </c>
      <c r="K78" s="47" t="s">
        <v>42</v>
      </c>
      <c r="L78" s="47">
        <v>0</v>
      </c>
      <c r="M78" s="51"/>
      <c r="N78" s="35" t="s">
        <v>38</v>
      </c>
      <c r="O78" s="36" t="s">
        <v>43</v>
      </c>
      <c r="P78" s="38">
        <v>15</v>
      </c>
      <c r="Q78" s="51"/>
      <c r="R78" s="35" t="s">
        <v>38</v>
      </c>
      <c r="S78" s="36" t="s">
        <v>62</v>
      </c>
      <c r="T78" s="38" t="s">
        <v>63</v>
      </c>
      <c r="U78" s="51"/>
      <c r="V78" s="35" t="s">
        <v>38</v>
      </c>
      <c r="W78" s="36" t="s">
        <v>62</v>
      </c>
      <c r="X78" s="38" t="s">
        <v>64</v>
      </c>
      <c r="Y78" s="51"/>
      <c r="Z78" s="35" t="s">
        <v>38</v>
      </c>
      <c r="AA78" s="36" t="s">
        <v>62</v>
      </c>
      <c r="AB78" s="38" t="s">
        <v>65</v>
      </c>
      <c r="AC78" s="51"/>
      <c r="AD78" s="35" t="s">
        <v>38</v>
      </c>
      <c r="AE78" s="36" t="s">
        <v>43</v>
      </c>
      <c r="AF78" s="38" t="s">
        <v>146</v>
      </c>
      <c r="AG78" s="51"/>
      <c r="AH78" s="35" t="s">
        <v>38</v>
      </c>
      <c r="AI78" s="36" t="s">
        <v>42</v>
      </c>
      <c r="AJ78" s="36">
        <v>0</v>
      </c>
      <c r="AK78" s="51"/>
      <c r="AL78" s="35" t="s">
        <v>38</v>
      </c>
      <c r="AM78" s="36" t="s">
        <v>147</v>
      </c>
      <c r="AN78" s="36">
        <v>1</v>
      </c>
      <c r="AO78" s="51"/>
      <c r="AP78" s="35" t="s">
        <v>38</v>
      </c>
      <c r="AQ78" s="36" t="s">
        <v>147</v>
      </c>
      <c r="AR78" s="36">
        <v>2</v>
      </c>
      <c r="AS78" s="51"/>
      <c r="AT78" s="35" t="s">
        <v>38</v>
      </c>
      <c r="AU78" s="36" t="s">
        <v>147</v>
      </c>
      <c r="AV78" s="36">
        <v>3</v>
      </c>
      <c r="AW78" s="51"/>
      <c r="AX78" s="35" t="s">
        <v>38</v>
      </c>
      <c r="AY78" s="47" t="s">
        <v>194</v>
      </c>
      <c r="AZ78" s="49" t="s">
        <v>65</v>
      </c>
      <c r="BA78" s="51"/>
    </row>
    <row r="79" spans="1:53" s="7" customFormat="1" ht="15.75">
      <c r="A79" s="51"/>
      <c r="B79" s="35" t="s">
        <v>38</v>
      </c>
      <c r="C79" s="36" t="s">
        <v>125</v>
      </c>
      <c r="D79" s="38" t="s">
        <v>134</v>
      </c>
      <c r="E79" s="51"/>
      <c r="F79" s="35" t="s">
        <v>38</v>
      </c>
      <c r="G79" s="36" t="s">
        <v>125</v>
      </c>
      <c r="H79" s="38" t="s">
        <v>134</v>
      </c>
      <c r="I79" s="51"/>
      <c r="J79" s="35" t="s">
        <v>38</v>
      </c>
      <c r="K79" s="47" t="s">
        <v>39</v>
      </c>
      <c r="L79" s="47">
        <v>2000</v>
      </c>
      <c r="M79" s="51"/>
      <c r="N79" s="35" t="s">
        <v>38</v>
      </c>
      <c r="O79" s="36" t="s">
        <v>44</v>
      </c>
      <c r="P79" s="38" t="s">
        <v>45</v>
      </c>
      <c r="Q79" s="51"/>
      <c r="R79" s="35" t="s">
        <v>38</v>
      </c>
      <c r="S79" s="36" t="s">
        <v>54</v>
      </c>
      <c r="T79" s="49" t="s">
        <v>235</v>
      </c>
      <c r="U79" s="51"/>
      <c r="V79" s="35" t="s">
        <v>38</v>
      </c>
      <c r="W79" s="36" t="s">
        <v>54</v>
      </c>
      <c r="X79" s="38" t="s">
        <v>115</v>
      </c>
      <c r="Y79" s="51"/>
      <c r="Z79" s="35" t="s">
        <v>38</v>
      </c>
      <c r="AA79" s="36" t="s">
        <v>54</v>
      </c>
      <c r="AB79" s="38" t="s">
        <v>118</v>
      </c>
      <c r="AC79" s="51"/>
      <c r="AD79" s="35" t="s">
        <v>38</v>
      </c>
      <c r="AE79" s="36" t="s">
        <v>148</v>
      </c>
      <c r="AF79" s="38" t="s">
        <v>64</v>
      </c>
      <c r="AG79" s="51"/>
      <c r="AH79" s="35" t="s">
        <v>38</v>
      </c>
      <c r="AI79" s="36" t="s">
        <v>149</v>
      </c>
      <c r="AJ79" s="47">
        <v>400</v>
      </c>
      <c r="AK79" s="51"/>
      <c r="AL79" s="35" t="s">
        <v>38</v>
      </c>
      <c r="AM79" s="36" t="s">
        <v>150</v>
      </c>
      <c r="AN79" s="36">
        <v>1200</v>
      </c>
      <c r="AO79" s="51"/>
      <c r="AP79" s="35" t="s">
        <v>38</v>
      </c>
      <c r="AQ79" s="36" t="s">
        <v>150</v>
      </c>
      <c r="AR79" s="36">
        <v>600</v>
      </c>
      <c r="AS79" s="51"/>
      <c r="AT79" s="35" t="s">
        <v>38</v>
      </c>
      <c r="AU79" s="36" t="s">
        <v>150</v>
      </c>
      <c r="AV79" s="36">
        <v>300</v>
      </c>
      <c r="AW79" s="51"/>
      <c r="AX79" s="35" t="s">
        <v>38</v>
      </c>
      <c r="AY79" s="47" t="s">
        <v>195</v>
      </c>
      <c r="AZ79" s="49" t="s">
        <v>249</v>
      </c>
      <c r="BA79" s="51"/>
    </row>
    <row r="80" spans="1:53" s="7" customFormat="1" ht="15.75">
      <c r="A80" s="51"/>
      <c r="B80" s="35" t="s">
        <v>38</v>
      </c>
      <c r="C80" s="36" t="s">
        <v>126</v>
      </c>
      <c r="D80" s="38" t="s">
        <v>121</v>
      </c>
      <c r="E80" s="51"/>
      <c r="F80" s="35" t="s">
        <v>38</v>
      </c>
      <c r="G80" s="36" t="s">
        <v>126</v>
      </c>
      <c r="H80" s="38" t="s">
        <v>121</v>
      </c>
      <c r="I80" s="51"/>
      <c r="J80" s="35" t="s">
        <v>38</v>
      </c>
      <c r="K80" s="47" t="s">
        <v>40</v>
      </c>
      <c r="L80" s="47">
        <v>1000</v>
      </c>
      <c r="M80" s="51"/>
      <c r="N80" s="35" t="s">
        <v>38</v>
      </c>
      <c r="O80" s="36" t="s">
        <v>46</v>
      </c>
      <c r="P80" s="38" t="s">
        <v>47</v>
      </c>
      <c r="Q80" s="51"/>
      <c r="R80" s="35" t="s">
        <v>38</v>
      </c>
      <c r="S80" s="36" t="s">
        <v>67</v>
      </c>
      <c r="T80" s="38" t="s">
        <v>258</v>
      </c>
      <c r="U80" s="51"/>
      <c r="V80" s="35" t="s">
        <v>38</v>
      </c>
      <c r="W80" s="36" t="s">
        <v>67</v>
      </c>
      <c r="X80" s="38" t="s">
        <v>117</v>
      </c>
      <c r="Y80" s="51"/>
      <c r="Z80" s="35" t="s">
        <v>38</v>
      </c>
      <c r="AA80" s="36" t="s">
        <v>67</v>
      </c>
      <c r="AB80" s="38" t="s">
        <v>117</v>
      </c>
      <c r="AC80" s="51"/>
      <c r="AD80" s="35" t="s">
        <v>38</v>
      </c>
      <c r="AE80" s="36" t="s">
        <v>46</v>
      </c>
      <c r="AF80" s="38" t="s">
        <v>142</v>
      </c>
      <c r="AG80" s="51"/>
      <c r="AH80" s="35" t="s">
        <v>38</v>
      </c>
      <c r="AI80" s="36" t="s">
        <v>151</v>
      </c>
      <c r="AJ80" s="47">
        <v>100</v>
      </c>
      <c r="AK80" s="51"/>
      <c r="AL80" s="35" t="s">
        <v>38</v>
      </c>
      <c r="AM80" s="36" t="s">
        <v>152</v>
      </c>
      <c r="AN80" s="36">
        <v>300</v>
      </c>
      <c r="AO80" s="51"/>
      <c r="AP80" s="35" t="s">
        <v>38</v>
      </c>
      <c r="AQ80" s="36" t="s">
        <v>152</v>
      </c>
      <c r="AR80" s="36">
        <v>300</v>
      </c>
      <c r="AS80" s="51"/>
      <c r="AT80" s="35" t="s">
        <v>38</v>
      </c>
      <c r="AU80" s="36" t="s">
        <v>152</v>
      </c>
      <c r="AV80" s="36">
        <v>300</v>
      </c>
      <c r="AW80" s="51"/>
      <c r="AX80" s="35" t="s">
        <v>38</v>
      </c>
      <c r="AY80" s="47" t="s">
        <v>197</v>
      </c>
      <c r="AZ80" s="49" t="s">
        <v>231</v>
      </c>
      <c r="BA80" s="51"/>
    </row>
    <row r="81" spans="1:53" s="7" customFormat="1" ht="15.75">
      <c r="A81" s="51"/>
      <c r="B81" s="35" t="s">
        <v>38</v>
      </c>
      <c r="C81" s="36" t="s">
        <v>125</v>
      </c>
      <c r="D81" s="38" t="s">
        <v>122</v>
      </c>
      <c r="E81" s="51"/>
      <c r="F81" s="35" t="s">
        <v>38</v>
      </c>
      <c r="G81" s="36" t="s">
        <v>125</v>
      </c>
      <c r="H81" s="38" t="s">
        <v>122</v>
      </c>
      <c r="I81" s="51"/>
      <c r="J81" s="35" t="s">
        <v>38</v>
      </c>
      <c r="K81" s="47" t="s">
        <v>41</v>
      </c>
      <c r="L81" s="47">
        <v>500</v>
      </c>
      <c r="M81" s="51"/>
      <c r="N81" s="35" t="s">
        <v>38</v>
      </c>
      <c r="O81" s="36" t="s">
        <v>48</v>
      </c>
      <c r="P81" s="38" t="s">
        <v>49</v>
      </c>
      <c r="Q81" s="51"/>
      <c r="R81" s="35" t="s">
        <v>38</v>
      </c>
      <c r="S81" s="36" t="s">
        <v>66</v>
      </c>
      <c r="T81" s="38" t="s">
        <v>259</v>
      </c>
      <c r="U81" s="51"/>
      <c r="V81" s="35" t="s">
        <v>38</v>
      </c>
      <c r="W81" s="36" t="s">
        <v>66</v>
      </c>
      <c r="X81" s="38" t="s">
        <v>142</v>
      </c>
      <c r="Y81" s="51"/>
      <c r="Z81" s="35" t="s">
        <v>38</v>
      </c>
      <c r="AA81" s="36" t="s">
        <v>66</v>
      </c>
      <c r="AB81" s="38" t="s">
        <v>142</v>
      </c>
      <c r="AC81" s="51"/>
      <c r="AD81" s="35" t="s">
        <v>38</v>
      </c>
      <c r="AE81" s="36" t="s">
        <v>153</v>
      </c>
      <c r="AF81" s="38" t="s">
        <v>64</v>
      </c>
      <c r="AG81" s="51"/>
      <c r="AH81" s="35" t="s">
        <v>38</v>
      </c>
      <c r="AI81" s="36" t="s">
        <v>154</v>
      </c>
      <c r="AJ81" s="47">
        <v>100</v>
      </c>
      <c r="AK81" s="51"/>
      <c r="AL81" s="51"/>
      <c r="AM81" s="51"/>
      <c r="AN81" s="51"/>
      <c r="AO81" s="51"/>
      <c r="AP81" s="51"/>
      <c r="AQ81" s="51"/>
      <c r="AR81" s="51"/>
      <c r="AS81" s="51"/>
      <c r="AT81" s="51"/>
      <c r="AU81" s="51"/>
      <c r="AV81" s="51"/>
      <c r="AW81" s="51"/>
      <c r="AX81" s="35" t="s">
        <v>38</v>
      </c>
      <c r="AY81" s="47" t="s">
        <v>198</v>
      </c>
      <c r="AZ81" s="49" t="s">
        <v>236</v>
      </c>
      <c r="BA81" s="51"/>
    </row>
    <row r="82" spans="1:53" s="7" customFormat="1" ht="15.75">
      <c r="A82" s="51"/>
      <c r="B82" s="35" t="s">
        <v>38</v>
      </c>
      <c r="C82" s="36" t="s">
        <v>126</v>
      </c>
      <c r="D82" s="38" t="s">
        <v>123</v>
      </c>
      <c r="E82" s="51"/>
      <c r="F82" s="35" t="s">
        <v>38</v>
      </c>
      <c r="G82" s="36" t="s">
        <v>126</v>
      </c>
      <c r="H82" s="38" t="s">
        <v>123</v>
      </c>
      <c r="I82" s="51"/>
      <c r="J82" s="51"/>
      <c r="K82" s="51"/>
      <c r="L82" s="51"/>
      <c r="M82" s="51"/>
      <c r="N82" s="35" t="s">
        <v>38</v>
      </c>
      <c r="O82" s="36" t="s">
        <v>50</v>
      </c>
      <c r="P82" s="38" t="s">
        <v>47</v>
      </c>
      <c r="Q82" s="51"/>
      <c r="R82" s="35" t="s">
        <v>38</v>
      </c>
      <c r="S82" s="36" t="s">
        <v>57</v>
      </c>
      <c r="T82" s="38" t="s">
        <v>227</v>
      </c>
      <c r="U82" s="51"/>
      <c r="V82" s="35" t="s">
        <v>38</v>
      </c>
      <c r="W82" s="36" t="s">
        <v>57</v>
      </c>
      <c r="X82" s="38" t="s">
        <v>58</v>
      </c>
      <c r="Y82" s="51"/>
      <c r="Z82" s="35" t="s">
        <v>38</v>
      </c>
      <c r="AA82" s="36" t="s">
        <v>57</v>
      </c>
      <c r="AB82" s="38" t="s">
        <v>58</v>
      </c>
      <c r="AC82" s="51"/>
      <c r="AD82" s="35" t="s">
        <v>38</v>
      </c>
      <c r="AE82" s="36" t="s">
        <v>50</v>
      </c>
      <c r="AF82" s="38" t="s">
        <v>136</v>
      </c>
      <c r="AG82" s="51"/>
      <c r="AH82" s="35" t="s">
        <v>38</v>
      </c>
      <c r="AI82" s="36" t="s">
        <v>155</v>
      </c>
      <c r="AJ82" s="47">
        <v>200</v>
      </c>
      <c r="AK82" s="51"/>
      <c r="AL82" s="51"/>
      <c r="AM82" s="51"/>
      <c r="AN82" s="51"/>
      <c r="AO82" s="51"/>
      <c r="AP82" s="51"/>
      <c r="AQ82" s="51"/>
      <c r="AR82" s="51"/>
      <c r="AS82" s="51"/>
      <c r="AT82" s="51"/>
      <c r="AU82" s="51"/>
      <c r="AV82" s="51"/>
      <c r="AW82" s="51"/>
      <c r="AX82" s="35" t="s">
        <v>38</v>
      </c>
      <c r="AY82" s="47" t="s">
        <v>237</v>
      </c>
      <c r="AZ82" s="49" t="s">
        <v>238</v>
      </c>
      <c r="BA82" s="51"/>
    </row>
    <row r="83" spans="1:53" s="7" customFormat="1" ht="15.75">
      <c r="A83" s="51"/>
      <c r="B83" s="35" t="s">
        <v>38</v>
      </c>
      <c r="C83" s="36" t="s">
        <v>125</v>
      </c>
      <c r="D83" s="38" t="s">
        <v>135</v>
      </c>
      <c r="E83" s="51"/>
      <c r="F83" s="35" t="s">
        <v>38</v>
      </c>
      <c r="G83" s="36" t="s">
        <v>125</v>
      </c>
      <c r="H83" s="38" t="s">
        <v>135</v>
      </c>
      <c r="I83" s="51"/>
      <c r="J83" s="51"/>
      <c r="K83" s="51"/>
      <c r="L83" s="51"/>
      <c r="M83" s="51"/>
      <c r="N83" s="51"/>
      <c r="O83" s="51"/>
      <c r="P83" s="51"/>
      <c r="Q83" s="51"/>
      <c r="R83" s="35" t="s">
        <v>38</v>
      </c>
      <c r="S83" s="36" t="s">
        <v>55</v>
      </c>
      <c r="T83" s="49" t="s">
        <v>141</v>
      </c>
      <c r="U83" s="51"/>
      <c r="V83" s="35" t="s">
        <v>38</v>
      </c>
      <c r="W83" s="36" t="s">
        <v>55</v>
      </c>
      <c r="X83" s="38" t="s">
        <v>239</v>
      </c>
      <c r="Y83" s="51"/>
      <c r="Z83" s="35" t="s">
        <v>38</v>
      </c>
      <c r="AA83" s="36" t="s">
        <v>55</v>
      </c>
      <c r="AB83" s="38" t="s">
        <v>239</v>
      </c>
      <c r="AC83" s="51"/>
      <c r="AD83" s="35" t="s">
        <v>38</v>
      </c>
      <c r="AE83" s="36" t="s">
        <v>156</v>
      </c>
      <c r="AF83" s="38" t="s">
        <v>64</v>
      </c>
      <c r="AG83" s="51"/>
      <c r="AH83" s="35" t="s">
        <v>38</v>
      </c>
      <c r="AI83" s="36" t="s">
        <v>157</v>
      </c>
      <c r="AJ83" s="47">
        <v>100</v>
      </c>
      <c r="AK83" s="51"/>
      <c r="AL83" s="51"/>
      <c r="AM83" s="51"/>
      <c r="AN83" s="51"/>
      <c r="AO83" s="51"/>
      <c r="AP83" s="51"/>
      <c r="AQ83" s="51"/>
      <c r="AR83" s="51"/>
      <c r="AS83" s="51"/>
      <c r="AT83" s="51"/>
      <c r="AU83" s="51"/>
      <c r="AV83" s="51"/>
      <c r="AW83" s="51"/>
      <c r="AX83" s="35" t="s">
        <v>38</v>
      </c>
      <c r="AY83" s="47" t="s">
        <v>199</v>
      </c>
      <c r="AZ83" s="49" t="s">
        <v>240</v>
      </c>
      <c r="BA83" s="51"/>
    </row>
    <row r="84" spans="1:53" s="7" customFormat="1" ht="15.75">
      <c r="A84" s="51"/>
      <c r="B84" s="35" t="s">
        <v>38</v>
      </c>
      <c r="C84" s="36" t="s">
        <v>126</v>
      </c>
      <c r="D84" s="38" t="s">
        <v>124</v>
      </c>
      <c r="E84" s="51"/>
      <c r="F84" s="35" t="s">
        <v>38</v>
      </c>
      <c r="G84" s="36" t="s">
        <v>126</v>
      </c>
      <c r="H84" s="38" t="s">
        <v>124</v>
      </c>
      <c r="I84" s="51"/>
      <c r="J84" s="51"/>
      <c r="K84" s="51"/>
      <c r="L84" s="51"/>
      <c r="M84" s="51"/>
      <c r="N84" s="51"/>
      <c r="O84" s="51"/>
      <c r="P84" s="51"/>
      <c r="Q84" s="51"/>
      <c r="R84" s="35" t="s">
        <v>38</v>
      </c>
      <c r="S84" s="36" t="s">
        <v>56</v>
      </c>
      <c r="T84" s="49" t="s">
        <v>137</v>
      </c>
      <c r="U84" s="51"/>
      <c r="V84" s="35" t="s">
        <v>38</v>
      </c>
      <c r="W84" s="36" t="s">
        <v>56</v>
      </c>
      <c r="X84" s="38" t="s">
        <v>241</v>
      </c>
      <c r="Y84" s="51"/>
      <c r="Z84" s="35" t="s">
        <v>38</v>
      </c>
      <c r="AA84" s="36" t="s">
        <v>56</v>
      </c>
      <c r="AB84" s="38" t="s">
        <v>241</v>
      </c>
      <c r="AC84" s="51"/>
      <c r="AD84" s="35" t="s">
        <v>38</v>
      </c>
      <c r="AE84" s="36" t="s">
        <v>158</v>
      </c>
      <c r="AF84" s="38" t="s">
        <v>159</v>
      </c>
      <c r="AG84" s="51"/>
      <c r="AH84" s="35" t="s">
        <v>38</v>
      </c>
      <c r="AI84" s="36" t="s">
        <v>160</v>
      </c>
      <c r="AJ84" s="47">
        <v>800</v>
      </c>
      <c r="AK84" s="51"/>
      <c r="AL84" s="51"/>
      <c r="AM84" s="51"/>
      <c r="AN84" s="51"/>
      <c r="AO84" s="51"/>
      <c r="AP84" s="51"/>
      <c r="AQ84" s="51"/>
      <c r="AR84" s="51"/>
      <c r="AS84" s="51"/>
      <c r="AT84" s="51"/>
      <c r="AU84" s="51"/>
      <c r="AV84" s="51"/>
      <c r="AW84" s="51"/>
      <c r="AX84" s="35" t="s">
        <v>38</v>
      </c>
      <c r="AY84" s="47" t="s">
        <v>200</v>
      </c>
      <c r="AZ84" s="49" t="s">
        <v>242</v>
      </c>
      <c r="BA84" s="51"/>
    </row>
    <row r="85" spans="1:53" s="7" customFormat="1" ht="15.75">
      <c r="A85" s="51"/>
      <c r="B85" s="35" t="s">
        <v>38</v>
      </c>
      <c r="C85" s="36" t="s">
        <v>125</v>
      </c>
      <c r="D85" s="38" t="s">
        <v>136</v>
      </c>
      <c r="E85" s="51"/>
      <c r="F85" s="35" t="s">
        <v>38</v>
      </c>
      <c r="G85" s="36" t="s">
        <v>125</v>
      </c>
      <c r="H85" s="38" t="s">
        <v>136</v>
      </c>
      <c r="I85" s="51"/>
      <c r="J85" s="51"/>
      <c r="K85" s="51"/>
      <c r="L85" s="51"/>
      <c r="M85" s="51"/>
      <c r="N85" s="51"/>
      <c r="O85" s="51"/>
      <c r="P85" s="51"/>
      <c r="Q85" s="51"/>
      <c r="R85" s="35" t="s">
        <v>38</v>
      </c>
      <c r="S85" s="36" t="s">
        <v>59</v>
      </c>
      <c r="T85" s="49" t="s">
        <v>243</v>
      </c>
      <c r="U85" s="51"/>
      <c r="V85" s="35" t="s">
        <v>38</v>
      </c>
      <c r="W85" s="36" t="s">
        <v>59</v>
      </c>
      <c r="X85" s="38" t="s">
        <v>141</v>
      </c>
      <c r="Y85" s="51"/>
      <c r="Z85" s="35" t="s">
        <v>38</v>
      </c>
      <c r="AA85" s="36" t="s">
        <v>59</v>
      </c>
      <c r="AB85" s="38" t="s">
        <v>141</v>
      </c>
      <c r="AC85" s="51"/>
      <c r="AD85" s="51"/>
      <c r="AE85" s="51"/>
      <c r="AF85" s="51"/>
      <c r="AG85" s="51"/>
      <c r="AH85" s="35" t="s">
        <v>38</v>
      </c>
      <c r="AI85" s="36" t="s">
        <v>255</v>
      </c>
      <c r="AJ85" s="47">
        <v>100</v>
      </c>
      <c r="AK85" s="51"/>
      <c r="AL85" s="51"/>
      <c r="AM85" s="51"/>
      <c r="AN85" s="51"/>
      <c r="AO85" s="51"/>
      <c r="AP85" s="51"/>
      <c r="AQ85" s="51"/>
      <c r="AR85" s="51"/>
      <c r="AS85" s="51"/>
      <c r="AT85" s="51"/>
      <c r="AU85" s="51"/>
      <c r="AV85" s="51"/>
      <c r="AW85" s="51"/>
      <c r="AX85" s="35" t="s">
        <v>38</v>
      </c>
      <c r="AY85" s="47" t="s">
        <v>201</v>
      </c>
      <c r="AZ85" s="52">
        <f>ROUND(AZ80+AZ86*AZ82/1000, 0)</f>
        <v>355000</v>
      </c>
      <c r="BA85" s="51"/>
    </row>
    <row r="86" spans="1:53" s="7" customFormat="1" ht="15.75">
      <c r="A86" s="51"/>
      <c r="B86" s="41" t="s">
        <v>38</v>
      </c>
      <c r="C86" s="42" t="s">
        <v>127</v>
      </c>
      <c r="D86" s="38" t="s">
        <v>63</v>
      </c>
      <c r="E86" s="51"/>
      <c r="F86" s="41" t="s">
        <v>38</v>
      </c>
      <c r="G86" s="42" t="s">
        <v>127</v>
      </c>
      <c r="H86" s="38" t="s">
        <v>64</v>
      </c>
      <c r="I86" s="51"/>
      <c r="J86" s="51"/>
      <c r="K86" s="51"/>
      <c r="L86" s="51"/>
      <c r="M86" s="51"/>
      <c r="N86" s="51"/>
      <c r="O86" s="51"/>
      <c r="P86" s="51"/>
      <c r="Q86" s="51"/>
      <c r="R86" s="35" t="s">
        <v>38</v>
      </c>
      <c r="S86" s="36" t="s">
        <v>60</v>
      </c>
      <c r="T86" s="49" t="s">
        <v>241</v>
      </c>
      <c r="U86" s="51"/>
      <c r="V86" s="35" t="s">
        <v>38</v>
      </c>
      <c r="W86" s="36" t="s">
        <v>60</v>
      </c>
      <c r="X86" s="38" t="s">
        <v>138</v>
      </c>
      <c r="Y86" s="51"/>
      <c r="Z86" s="35" t="s">
        <v>38</v>
      </c>
      <c r="AA86" s="36" t="s">
        <v>60</v>
      </c>
      <c r="AB86" s="38" t="s">
        <v>138</v>
      </c>
      <c r="AC86" s="51"/>
      <c r="AD86" s="51"/>
      <c r="AE86" s="51"/>
      <c r="AF86" s="51"/>
      <c r="AG86" s="51"/>
      <c r="AH86" s="35" t="s">
        <v>38</v>
      </c>
      <c r="AI86" s="36" t="s">
        <v>256</v>
      </c>
      <c r="AJ86" s="47">
        <v>25500</v>
      </c>
      <c r="AK86" s="51"/>
      <c r="AL86" s="51"/>
      <c r="AM86" s="51"/>
      <c r="AN86" s="51"/>
      <c r="AO86" s="51"/>
      <c r="AP86" s="51"/>
      <c r="AQ86" s="51"/>
      <c r="AR86" s="51"/>
      <c r="AS86" s="51"/>
      <c r="AT86" s="51"/>
      <c r="AU86" s="51"/>
      <c r="AV86" s="51"/>
      <c r="AW86" s="51"/>
      <c r="AX86" s="41" t="s">
        <v>38</v>
      </c>
      <c r="AY86" s="53" t="s">
        <v>202</v>
      </c>
      <c r="AZ86" s="52">
        <f>ROUND((AZ79-AZ80)*1000/(AZ82-AZ81),0)</f>
        <v>6000</v>
      </c>
      <c r="BA86" s="51"/>
    </row>
    <row r="87" spans="1:53" s="7" customFormat="1" ht="15.75">
      <c r="A87" s="51"/>
      <c r="B87" s="51"/>
      <c r="C87" s="51"/>
      <c r="D87" s="51"/>
      <c r="E87" s="51"/>
      <c r="F87" s="51"/>
      <c r="G87" s="51"/>
      <c r="H87" s="51"/>
      <c r="I87" s="51"/>
      <c r="J87" s="51"/>
      <c r="K87" s="51"/>
      <c r="L87" s="51"/>
      <c r="M87" s="51"/>
      <c r="N87" s="51"/>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35" t="s">
        <v>38</v>
      </c>
      <c r="AY87" s="47" t="s">
        <v>203</v>
      </c>
      <c r="AZ87" s="52">
        <f>ROUND(AZ84+AZ88*AZ82/1000,0)</f>
        <v>285016</v>
      </c>
      <c r="BA87" s="51"/>
    </row>
    <row r="88" spans="1:53" s="7" customFormat="1" ht="15.75">
      <c r="A88" s="51"/>
      <c r="B88" s="51"/>
      <c r="C88" s="51"/>
      <c r="D88" s="51"/>
      <c r="E88" s="51"/>
      <c r="F88" s="51"/>
      <c r="G88" s="51"/>
      <c r="H88" s="51"/>
      <c r="I88" s="51"/>
      <c r="J88" s="51"/>
      <c r="K88" s="51"/>
      <c r="L88" s="51"/>
      <c r="M88" s="51"/>
      <c r="N88" s="51"/>
      <c r="O88" s="51"/>
      <c r="P88" s="51"/>
      <c r="Q88" s="51"/>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41" t="s">
        <v>38</v>
      </c>
      <c r="AY88" s="53" t="s">
        <v>204</v>
      </c>
      <c r="AZ88" s="52">
        <f>ROUND((AZ83-AZ84)*1000/(AZ82-AZ81),0)</f>
        <v>4667</v>
      </c>
    </row>
    <row r="89" spans="1:53" s="7" customFormat="1" ht="15.75">
      <c r="A89" s="51"/>
      <c r="B89" s="51"/>
      <c r="C89" s="51"/>
      <c r="D89" s="51"/>
      <c r="E89" s="51"/>
      <c r="F89" s="51"/>
      <c r="G89" s="51"/>
      <c r="H89" s="51"/>
      <c r="I89" s="51"/>
      <c r="J89" s="51"/>
      <c r="K89" s="51"/>
      <c r="L89" s="51"/>
      <c r="M89" s="51"/>
      <c r="N89" s="51"/>
      <c r="O89" s="51"/>
      <c r="P89" s="51"/>
      <c r="Q89" s="51"/>
      <c r="U89" s="51"/>
      <c r="V89" s="51"/>
      <c r="W89" s="51"/>
      <c r="X89" s="51"/>
      <c r="Y89" s="51"/>
      <c r="Z89" s="51"/>
      <c r="AA89" s="51"/>
      <c r="AB89" s="51"/>
      <c r="AC89" s="51"/>
      <c r="AD89" s="51"/>
      <c r="AE89" s="51"/>
      <c r="AF89" s="51"/>
      <c r="AG89" s="51"/>
      <c r="AH89" s="51"/>
      <c r="AI89" s="51"/>
      <c r="AJ89" s="51"/>
      <c r="AK89" s="51"/>
      <c r="AL89" s="51"/>
      <c r="AM89" s="51"/>
      <c r="AN89" s="51"/>
      <c r="AO89" s="51"/>
      <c r="AP89" s="51"/>
      <c r="AQ89" s="51"/>
      <c r="AR89" s="51"/>
      <c r="AS89" s="51"/>
      <c r="AT89" s="51"/>
      <c r="AU89" s="51"/>
      <c r="AV89" s="51"/>
      <c r="AW89" s="51"/>
      <c r="AX89" s="35" t="s">
        <v>38</v>
      </c>
      <c r="AY89" s="36" t="s">
        <v>226</v>
      </c>
      <c r="AZ89" s="49" t="s">
        <v>270</v>
      </c>
    </row>
    <row r="90" spans="1:53" s="7" customFormat="1" ht="15.75">
      <c r="A90" s="51"/>
      <c r="B90" s="51"/>
      <c r="C90" s="51"/>
      <c r="D90" s="51"/>
      <c r="E90" s="51"/>
      <c r="F90" s="51"/>
      <c r="G90" s="51"/>
      <c r="H90" s="51"/>
      <c r="I90" s="51"/>
      <c r="J90" s="51"/>
      <c r="K90" s="51"/>
      <c r="L90" s="51"/>
      <c r="M90" s="51"/>
      <c r="N90" s="51"/>
      <c r="O90" s="51"/>
      <c r="P90" s="51"/>
      <c r="Q90" s="51"/>
      <c r="U90" s="51"/>
      <c r="V90" s="51"/>
      <c r="W90" s="51"/>
      <c r="X90" s="51"/>
      <c r="Y90" s="51"/>
      <c r="Z90" s="51"/>
      <c r="AA90" s="51"/>
      <c r="AB90" s="51"/>
      <c r="AC90" s="51"/>
      <c r="AD90" s="51"/>
      <c r="AE90" s="51"/>
      <c r="AF90" s="51"/>
      <c r="AG90" s="51"/>
      <c r="AH90" s="51"/>
      <c r="AI90" s="51"/>
      <c r="AJ90" s="51"/>
      <c r="AK90" s="51"/>
      <c r="AL90" s="51"/>
      <c r="AM90" s="51"/>
      <c r="AN90" s="51"/>
      <c r="AO90" s="51"/>
      <c r="AP90" s="51"/>
      <c r="AQ90" s="51"/>
      <c r="AR90" s="51"/>
      <c r="AS90" s="51"/>
      <c r="AT90" s="51"/>
      <c r="AU90" s="51"/>
      <c r="AV90" s="51"/>
      <c r="AW90" s="51"/>
      <c r="AX90" s="35" t="s">
        <v>38</v>
      </c>
      <c r="AY90" s="36" t="s">
        <v>228</v>
      </c>
      <c r="AZ90" s="49" t="s">
        <v>270</v>
      </c>
    </row>
    <row r="91" spans="1:53" s="7" customFormat="1" ht="15.75">
      <c r="A91" s="51"/>
      <c r="B91" s="51"/>
      <c r="C91" s="51"/>
      <c r="D91" s="51"/>
      <c r="E91" s="51"/>
      <c r="F91" s="51"/>
      <c r="G91" s="51"/>
      <c r="H91" s="51"/>
      <c r="I91" s="51"/>
      <c r="J91" s="51"/>
      <c r="K91" s="51"/>
      <c r="L91" s="51"/>
      <c r="M91" s="51"/>
      <c r="N91" s="51"/>
      <c r="O91" s="51"/>
      <c r="P91" s="51"/>
      <c r="Q91" s="51"/>
      <c r="U91" s="51"/>
      <c r="V91" s="51"/>
      <c r="W91" s="51"/>
      <c r="X91" s="51"/>
      <c r="Y91" s="51"/>
      <c r="Z91" s="51"/>
      <c r="AA91" s="51"/>
      <c r="AB91" s="51"/>
      <c r="AC91" s="51"/>
      <c r="AD91" s="51"/>
      <c r="AE91" s="51"/>
      <c r="AF91" s="51"/>
      <c r="AG91" s="51"/>
      <c r="AH91" s="51"/>
      <c r="AI91" s="51"/>
      <c r="AJ91" s="51"/>
      <c r="AK91" s="51"/>
      <c r="AL91" s="51"/>
      <c r="AM91" s="51"/>
      <c r="AN91" s="51"/>
      <c r="AO91" s="51"/>
      <c r="AP91" s="51"/>
      <c r="AQ91" s="51"/>
      <c r="AR91" s="51"/>
      <c r="AS91" s="51"/>
      <c r="AT91" s="51"/>
      <c r="AU91" s="51"/>
      <c r="AV91" s="51"/>
      <c r="AW91" s="51"/>
      <c r="AX91" s="35" t="s">
        <v>38</v>
      </c>
      <c r="AY91" s="36" t="s">
        <v>229</v>
      </c>
      <c r="AZ91" s="49" t="s">
        <v>230</v>
      </c>
    </row>
    <row r="92" spans="1:53" s="7" customFormat="1" ht="15.75">
      <c r="A92" s="51"/>
      <c r="B92" s="51"/>
      <c r="C92" s="51"/>
      <c r="D92" s="51"/>
      <c r="E92" s="51"/>
      <c r="F92" s="51"/>
      <c r="G92" s="51"/>
      <c r="H92" s="51"/>
      <c r="I92" s="51"/>
      <c r="J92" s="51"/>
      <c r="K92" s="51"/>
      <c r="L92" s="51"/>
      <c r="M92" s="51"/>
      <c r="N92" s="51"/>
      <c r="O92" s="51"/>
      <c r="P92" s="51"/>
      <c r="Q92" s="51"/>
      <c r="U92" s="51"/>
      <c r="V92" s="51"/>
      <c r="W92" s="51"/>
      <c r="X92" s="51"/>
      <c r="Y92" s="51"/>
      <c r="Z92" s="51"/>
      <c r="AA92" s="51"/>
      <c r="AB92" s="51"/>
      <c r="AC92" s="51"/>
      <c r="AD92" s="51"/>
      <c r="AE92" s="51"/>
      <c r="AF92" s="51"/>
      <c r="AG92" s="51"/>
      <c r="AH92" s="51"/>
      <c r="AI92" s="51"/>
      <c r="AJ92" s="51"/>
      <c r="AK92" s="51"/>
      <c r="AL92" s="51"/>
      <c r="AM92" s="51"/>
      <c r="AN92" s="51"/>
      <c r="AO92" s="51"/>
      <c r="AP92" s="51"/>
      <c r="AQ92" s="51"/>
      <c r="AR92" s="51"/>
      <c r="AS92" s="51"/>
      <c r="AT92" s="51"/>
      <c r="AU92" s="51"/>
      <c r="AV92" s="51"/>
      <c r="AW92" s="51"/>
      <c r="AX92" s="51"/>
    </row>
    <row r="93" spans="1:53" s="7" customFormat="1" ht="15.75">
      <c r="A93" s="51"/>
      <c r="B93" s="51"/>
      <c r="C93" s="51"/>
      <c r="D93" s="51"/>
      <c r="E93" s="51"/>
      <c r="F93" s="51"/>
      <c r="G93" s="51"/>
      <c r="H93" s="51"/>
      <c r="I93" s="51"/>
      <c r="J93" s="51"/>
      <c r="K93" s="51"/>
      <c r="L93" s="51"/>
      <c r="M93" s="51"/>
      <c r="N93" s="51"/>
      <c r="O93" s="51"/>
      <c r="P93" s="51"/>
      <c r="Q93" s="51"/>
      <c r="U93" s="51"/>
      <c r="V93" s="51"/>
      <c r="W93" s="51"/>
      <c r="X93" s="51"/>
      <c r="Y93" s="51"/>
      <c r="Z93" s="51"/>
      <c r="AA93" s="51"/>
      <c r="AB93" s="51"/>
      <c r="AC93" s="51"/>
      <c r="AD93" s="51"/>
      <c r="AE93" s="51"/>
      <c r="AF93" s="51"/>
      <c r="AG93" s="51"/>
      <c r="AH93" s="51"/>
      <c r="AI93" s="51"/>
      <c r="AJ93" s="51"/>
      <c r="AK93" s="51"/>
      <c r="AL93" s="51"/>
      <c r="AM93" s="51"/>
      <c r="AN93" s="51"/>
      <c r="AO93" s="51"/>
      <c r="AP93" s="51"/>
      <c r="AQ93" s="51"/>
      <c r="AR93" s="51"/>
      <c r="AS93" s="51"/>
      <c r="AT93" s="51"/>
      <c r="AU93" s="51"/>
      <c r="AV93" s="51"/>
      <c r="AW93" s="51"/>
      <c r="AX93" s="51"/>
    </row>
    <row r="94" spans="1:53" s="7" customFormat="1" ht="15.75">
      <c r="A94" s="51"/>
      <c r="B94" s="51"/>
      <c r="C94" s="51"/>
      <c r="D94" s="51"/>
      <c r="E94" s="51"/>
      <c r="F94" s="51"/>
      <c r="G94" s="51"/>
      <c r="H94" s="51"/>
      <c r="I94" s="51"/>
      <c r="J94" s="51"/>
      <c r="K94" s="51"/>
      <c r="L94" s="51"/>
      <c r="M94" s="51"/>
      <c r="N94" s="51"/>
      <c r="O94" s="51"/>
      <c r="P94" s="51"/>
      <c r="Q94" s="51"/>
      <c r="U94" s="51"/>
      <c r="V94" s="51"/>
      <c r="W94" s="51"/>
      <c r="X94" s="51"/>
      <c r="Y94" s="51"/>
      <c r="Z94" s="51"/>
      <c r="AA94" s="51"/>
      <c r="AB94" s="51"/>
      <c r="AC94" s="51"/>
      <c r="AD94" s="51"/>
      <c r="AE94" s="51"/>
      <c r="AF94" s="51"/>
      <c r="AG94" s="51"/>
      <c r="AH94" s="51"/>
      <c r="AI94" s="51"/>
      <c r="AJ94" s="51"/>
      <c r="AK94" s="51"/>
      <c r="AL94" s="51"/>
      <c r="AM94" s="51"/>
      <c r="AN94" s="51"/>
      <c r="AO94" s="51"/>
      <c r="AP94" s="51"/>
      <c r="AQ94" s="51"/>
      <c r="AR94" s="51"/>
      <c r="AS94" s="51"/>
      <c r="AT94" s="51"/>
      <c r="AU94" s="51"/>
      <c r="AV94" s="51"/>
      <c r="AW94" s="51"/>
      <c r="AX94" s="51"/>
    </row>
    <row r="95" spans="1:53" ht="15.75">
      <c r="A95" s="51"/>
      <c r="B95" s="51"/>
      <c r="C95" s="51"/>
      <c r="D95" s="51"/>
      <c r="E95" s="51"/>
      <c r="F95" s="51"/>
      <c r="G95" s="51"/>
      <c r="H95" s="51"/>
      <c r="I95" s="51"/>
      <c r="J95" s="51"/>
      <c r="K95" s="51"/>
      <c r="L95" s="51"/>
      <c r="M95" s="51"/>
      <c r="N95" s="51"/>
      <c r="O95" s="51"/>
      <c r="P95" s="51"/>
      <c r="Q95" s="51"/>
      <c r="U95" s="51"/>
      <c r="V95" s="51"/>
      <c r="W95" s="51"/>
      <c r="X95" s="51"/>
      <c r="Y95" s="51"/>
      <c r="Z95" s="51"/>
      <c r="AA95" s="51"/>
      <c r="AB95" s="51"/>
      <c r="AC95" s="51"/>
      <c r="AD95" s="51"/>
      <c r="AE95" s="51"/>
      <c r="AF95" s="51"/>
      <c r="AG95" s="51"/>
      <c r="AH95" s="51"/>
      <c r="AI95" s="51"/>
      <c r="AJ95" s="51"/>
      <c r="AK95" s="51"/>
      <c r="AL95" s="51"/>
      <c r="AM95" s="51"/>
      <c r="AN95" s="51"/>
      <c r="AO95" s="51"/>
      <c r="AP95" s="51"/>
      <c r="AQ95" s="51"/>
      <c r="AR95" s="51"/>
      <c r="AS95" s="51"/>
      <c r="AT95" s="51"/>
      <c r="AU95" s="51"/>
      <c r="AV95" s="51"/>
      <c r="AW95" s="51"/>
      <c r="AX95" s="51"/>
      <c r="AY95" s="1"/>
      <c r="AZ95" s="1"/>
      <c r="BA95" s="1"/>
    </row>
    <row r="96" spans="1:53" ht="15.75">
      <c r="A96" s="51"/>
      <c r="B96" s="51"/>
      <c r="C96" s="51"/>
      <c r="D96" s="51"/>
      <c r="E96" s="51"/>
      <c r="F96" s="51"/>
      <c r="G96" s="51"/>
      <c r="H96" s="51"/>
      <c r="I96" s="51"/>
      <c r="J96" s="51"/>
      <c r="K96" s="51"/>
      <c r="L96" s="51"/>
      <c r="M96" s="51"/>
      <c r="N96" s="51"/>
      <c r="O96" s="51"/>
      <c r="P96" s="51"/>
      <c r="Q96" s="51"/>
      <c r="U96" s="51"/>
      <c r="V96" s="51"/>
      <c r="W96" s="51"/>
      <c r="X96" s="51"/>
      <c r="Y96" s="51"/>
      <c r="Z96" s="51"/>
      <c r="AA96" s="51"/>
      <c r="AB96" s="51"/>
      <c r="AC96" s="51"/>
      <c r="AD96" s="51"/>
      <c r="AE96" s="51"/>
      <c r="AF96" s="51"/>
      <c r="AG96" s="51"/>
      <c r="AH96" s="51"/>
      <c r="AI96" s="51"/>
      <c r="AJ96" s="51"/>
      <c r="AK96" s="51"/>
      <c r="AL96" s="51"/>
      <c r="AM96" s="51"/>
      <c r="AN96" s="51"/>
      <c r="AO96" s="51"/>
      <c r="AP96" s="51"/>
      <c r="AQ96" s="51"/>
      <c r="AR96" s="51"/>
      <c r="AS96" s="51"/>
      <c r="AT96" s="51"/>
      <c r="AU96" s="51"/>
      <c r="AV96" s="51"/>
      <c r="AW96" s="51"/>
      <c r="AX96" s="51"/>
      <c r="AY96" s="1"/>
      <c r="AZ96" s="1"/>
      <c r="BA96" s="1"/>
    </row>
    <row r="97" spans="1:53" ht="15.75">
      <c r="A97" s="51"/>
      <c r="B97" s="51"/>
      <c r="C97" s="51"/>
      <c r="D97" s="51"/>
      <c r="E97" s="51"/>
      <c r="F97" s="51"/>
      <c r="G97" s="51"/>
      <c r="H97" s="51"/>
      <c r="I97" s="51"/>
      <c r="J97" s="51"/>
      <c r="K97" s="51"/>
      <c r="L97" s="51"/>
      <c r="M97" s="51"/>
      <c r="N97" s="51"/>
      <c r="O97" s="51"/>
      <c r="P97" s="51"/>
      <c r="Q97" s="51"/>
      <c r="U97" s="51"/>
      <c r="V97" s="51"/>
      <c r="W97" s="51"/>
      <c r="X97" s="51"/>
      <c r="Y97" s="51"/>
      <c r="Z97" s="51"/>
      <c r="AA97" s="51"/>
      <c r="AB97" s="51"/>
      <c r="AC97" s="51"/>
      <c r="AD97" s="51"/>
      <c r="AE97" s="51"/>
      <c r="AF97" s="51"/>
      <c r="AG97" s="51"/>
      <c r="AH97" s="51"/>
      <c r="AI97" s="51"/>
      <c r="AJ97" s="51"/>
      <c r="AK97" s="51"/>
      <c r="AL97" s="51"/>
      <c r="AM97" s="51"/>
      <c r="AN97" s="51"/>
      <c r="AO97" s="51"/>
      <c r="AP97" s="51"/>
      <c r="AQ97" s="51"/>
      <c r="AR97" s="51"/>
      <c r="AS97" s="51"/>
      <c r="AT97" s="51"/>
      <c r="AU97" s="51"/>
      <c r="AV97" s="51"/>
      <c r="AW97" s="51"/>
      <c r="AX97" s="51"/>
      <c r="AY97" s="1"/>
      <c r="AZ97" s="1"/>
      <c r="BA97" s="1"/>
    </row>
    <row r="98" spans="1:53" ht="15.75">
      <c r="A98" s="51"/>
      <c r="B98" s="51"/>
      <c r="C98" s="51"/>
      <c r="D98" s="51"/>
      <c r="E98" s="51"/>
      <c r="F98" s="51"/>
      <c r="G98" s="51"/>
      <c r="H98" s="51"/>
      <c r="I98" s="51"/>
      <c r="J98" s="51"/>
      <c r="K98" s="51"/>
      <c r="L98" s="51"/>
      <c r="M98" s="51"/>
      <c r="N98" s="51"/>
      <c r="O98" s="51"/>
      <c r="P98" s="51"/>
      <c r="Q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c r="AT98" s="51"/>
      <c r="AU98" s="51"/>
      <c r="AV98" s="51"/>
      <c r="AW98" s="51"/>
      <c r="AX98" s="51"/>
      <c r="AY98" s="1"/>
      <c r="AZ98" s="1"/>
      <c r="BA98" s="1"/>
    </row>
    <row r="99" spans="1:53" ht="15.75">
      <c r="A99" s="51"/>
      <c r="B99" s="51"/>
      <c r="C99" s="51"/>
      <c r="D99" s="51"/>
      <c r="E99" s="51"/>
      <c r="F99" s="51"/>
      <c r="G99" s="51"/>
      <c r="H99" s="51"/>
      <c r="I99" s="51"/>
      <c r="J99" s="51"/>
      <c r="K99" s="51"/>
      <c r="L99" s="51"/>
      <c r="M99" s="51"/>
      <c r="N99" s="51"/>
      <c r="O99" s="51"/>
      <c r="P99" s="51"/>
      <c r="Q99" s="51"/>
      <c r="U99" s="51"/>
      <c r="V99" s="51"/>
      <c r="W99" s="51"/>
      <c r="X99" s="51"/>
      <c r="Y99" s="51"/>
      <c r="Z99" s="51"/>
      <c r="AA99" s="51"/>
      <c r="AB99" s="51"/>
      <c r="AC99" s="51"/>
      <c r="AD99" s="51"/>
      <c r="AE99" s="51"/>
      <c r="AF99" s="51"/>
      <c r="AG99" s="51"/>
      <c r="AH99" s="51"/>
      <c r="AI99" s="51"/>
      <c r="AJ99" s="51"/>
      <c r="AK99" s="51"/>
      <c r="AL99" s="51"/>
      <c r="AM99" s="51"/>
      <c r="AN99" s="51"/>
      <c r="AO99" s="51"/>
      <c r="AP99" s="51"/>
      <c r="AQ99" s="51"/>
      <c r="AR99" s="51"/>
      <c r="AS99" s="51"/>
      <c r="AT99" s="51"/>
      <c r="AU99" s="51"/>
      <c r="AV99" s="51"/>
      <c r="AW99" s="51"/>
      <c r="AX99" s="51"/>
      <c r="AY99" s="1"/>
      <c r="AZ99" s="1"/>
      <c r="BA99" s="1"/>
    </row>
    <row r="100" spans="1:53" ht="15.75">
      <c r="A100" s="51"/>
      <c r="B100" s="51"/>
      <c r="C100" s="51"/>
      <c r="D100" s="51"/>
      <c r="E100" s="51"/>
      <c r="F100" s="51"/>
      <c r="G100" s="51"/>
      <c r="H100" s="51"/>
      <c r="I100" s="51"/>
      <c r="J100" s="51"/>
      <c r="K100" s="51"/>
      <c r="L100" s="51"/>
      <c r="M100" s="51"/>
      <c r="N100" s="51"/>
      <c r="O100" s="51"/>
      <c r="P100" s="51"/>
      <c r="Q100" s="51"/>
      <c r="U100" s="51"/>
      <c r="V100" s="51"/>
      <c r="W100" s="51"/>
      <c r="X100" s="51"/>
      <c r="Y100" s="51"/>
      <c r="Z100" s="51"/>
      <c r="AA100" s="51"/>
      <c r="AB100" s="51"/>
      <c r="AC100" s="51"/>
      <c r="AD100" s="51"/>
      <c r="AE100" s="51"/>
      <c r="AF100" s="51"/>
      <c r="AG100" s="51"/>
      <c r="AH100" s="51"/>
      <c r="AI100" s="51"/>
      <c r="AJ100" s="51"/>
      <c r="AK100" s="51"/>
      <c r="AL100" s="51"/>
      <c r="AM100" s="51"/>
      <c r="AN100" s="51"/>
      <c r="AO100" s="51"/>
      <c r="AP100" s="51"/>
      <c r="AQ100" s="51"/>
      <c r="AR100" s="51"/>
      <c r="AS100" s="51"/>
      <c r="AT100" s="51"/>
      <c r="AU100" s="51"/>
      <c r="AV100" s="51"/>
      <c r="AW100" s="51"/>
      <c r="AX100" s="51"/>
      <c r="AY100" s="51"/>
      <c r="AZ100" s="51"/>
      <c r="BA100" s="51"/>
    </row>
    <row r="101" spans="1:53" ht="15.75">
      <c r="A101" s="51"/>
      <c r="B101" s="51"/>
      <c r="C101" s="51"/>
      <c r="D101" s="51"/>
      <c r="E101" s="51"/>
      <c r="F101" s="51"/>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c r="AT101" s="51"/>
      <c r="AU101" s="51"/>
      <c r="AV101" s="51"/>
      <c r="AW101" s="51"/>
      <c r="AX101" s="51"/>
      <c r="AY101" s="51"/>
      <c r="AZ101" s="51"/>
      <c r="BA101" s="51"/>
    </row>
    <row r="102" spans="1:53" ht="15.75">
      <c r="A102" s="51"/>
      <c r="B102" s="51"/>
      <c r="C102" s="51"/>
      <c r="D102" s="51"/>
      <c r="E102" s="51"/>
      <c r="F102" s="51"/>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c r="AT102" s="51"/>
      <c r="AU102" s="51"/>
      <c r="AV102" s="51"/>
      <c r="AW102" s="51"/>
      <c r="AX102" s="51"/>
      <c r="AY102" s="51"/>
      <c r="AZ102" s="51"/>
      <c r="BA102" s="51"/>
    </row>
    <row r="103" spans="1:53" ht="15.75">
      <c r="A103" s="51"/>
      <c r="B103" s="51"/>
      <c r="C103" s="51"/>
      <c r="D103" s="51"/>
      <c r="E103" s="51"/>
      <c r="F103" s="51"/>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c r="AJ103" s="51"/>
      <c r="AK103" s="51"/>
      <c r="AL103" s="51"/>
      <c r="AM103" s="51"/>
      <c r="AN103" s="51"/>
      <c r="AO103" s="51"/>
      <c r="AP103" s="51"/>
      <c r="AQ103" s="51"/>
      <c r="AR103" s="51"/>
      <c r="AS103" s="51"/>
      <c r="AT103" s="51"/>
      <c r="AU103" s="51"/>
      <c r="AV103" s="51"/>
      <c r="AW103" s="51"/>
      <c r="AX103" s="51"/>
      <c r="AY103" s="51"/>
      <c r="AZ103" s="51"/>
      <c r="BA103" s="51"/>
    </row>
    <row r="104" spans="1:53" ht="15.75">
      <c r="A104" s="51"/>
      <c r="B104" s="51"/>
      <c r="C104" s="51"/>
      <c r="D104" s="51"/>
      <c r="E104" s="51"/>
      <c r="F104" s="51"/>
      <c r="G104" s="51"/>
      <c r="H104" s="51"/>
      <c r="I104" s="51"/>
      <c r="J104" s="51"/>
      <c r="K104" s="51"/>
      <c r="L104" s="51"/>
      <c r="M104" s="51"/>
      <c r="N104" s="51"/>
      <c r="O104" s="51"/>
      <c r="P104" s="51"/>
      <c r="Q104" s="51"/>
      <c r="R104" s="51"/>
      <c r="S104" s="51"/>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c r="AT104" s="51"/>
      <c r="AU104" s="51"/>
      <c r="AV104" s="51"/>
      <c r="AW104" s="51"/>
      <c r="AX104" s="51"/>
      <c r="AY104" s="51"/>
      <c r="AZ104" s="51"/>
      <c r="BA104" s="51"/>
    </row>
    <row r="105" spans="1:53" ht="15.75">
      <c r="A105" s="51"/>
      <c r="B105" s="51"/>
      <c r="C105" s="51"/>
      <c r="D105" s="51"/>
      <c r="E105" s="51"/>
      <c r="F105" s="51"/>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c r="AD105" s="51"/>
      <c r="AE105" s="51"/>
      <c r="AF105" s="51"/>
      <c r="AG105" s="51"/>
      <c r="AH105" s="51"/>
      <c r="AI105" s="51"/>
      <c r="AJ105" s="51"/>
      <c r="AK105" s="51"/>
      <c r="AL105" s="51"/>
      <c r="AM105" s="51"/>
      <c r="AN105" s="51"/>
      <c r="AO105" s="51"/>
      <c r="AP105" s="51"/>
      <c r="AQ105" s="51"/>
      <c r="AR105" s="51"/>
      <c r="AS105" s="51"/>
      <c r="AT105" s="51"/>
      <c r="AU105" s="51"/>
      <c r="AV105" s="51"/>
      <c r="AW105" s="51"/>
      <c r="AX105" s="51"/>
      <c r="AY105" s="51"/>
      <c r="AZ105" s="51"/>
      <c r="BA105" s="51"/>
    </row>
    <row r="106" spans="1:53" ht="15.75">
      <c r="A106" s="51"/>
      <c r="B106" s="51"/>
      <c r="C106" s="51"/>
      <c r="D106" s="51"/>
      <c r="E106" s="51"/>
      <c r="F106" s="51"/>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c r="AV106" s="51"/>
      <c r="AW106" s="51"/>
      <c r="AX106" s="51"/>
      <c r="AY106" s="51"/>
      <c r="AZ106" s="51"/>
      <c r="BA106" s="51"/>
    </row>
    <row r="107" spans="1:53" ht="15.75">
      <c r="A107" s="51"/>
      <c r="B107" s="51"/>
      <c r="C107" s="51"/>
      <c r="D107" s="51"/>
      <c r="E107" s="51"/>
      <c r="F107" s="51"/>
      <c r="G107" s="51"/>
      <c r="H107" s="51"/>
      <c r="I107" s="5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c r="AV107" s="51"/>
      <c r="AW107" s="51"/>
      <c r="AX107" s="51"/>
      <c r="AY107" s="51"/>
      <c r="AZ107" s="51"/>
      <c r="BA107" s="51"/>
    </row>
    <row r="108" spans="1:53" ht="15.75">
      <c r="A108" s="51"/>
      <c r="B108" s="51"/>
      <c r="C108" s="51"/>
      <c r="D108" s="51"/>
      <c r="E108" s="51"/>
      <c r="F108" s="51"/>
      <c r="G108" s="51"/>
      <c r="H108" s="51"/>
      <c r="I108" s="5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c r="AV108" s="51"/>
      <c r="AW108" s="51"/>
      <c r="AX108" s="51"/>
      <c r="AY108" s="51"/>
      <c r="AZ108" s="51"/>
      <c r="BA108" s="51"/>
    </row>
    <row r="109" spans="1:53" ht="15.75">
      <c r="A109" s="51"/>
      <c r="B109" s="51"/>
      <c r="C109" s="51"/>
      <c r="D109" s="51"/>
      <c r="E109" s="51"/>
      <c r="F109" s="51"/>
      <c r="G109" s="51"/>
      <c r="H109" s="51"/>
      <c r="I109" s="5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c r="AV109" s="51"/>
      <c r="AW109" s="51"/>
      <c r="AX109" s="51"/>
      <c r="AY109" s="51"/>
      <c r="AZ109" s="51"/>
      <c r="BA109" s="51"/>
    </row>
    <row r="110" spans="1:53" ht="15.75">
      <c r="A110" s="51"/>
      <c r="B110" s="51"/>
      <c r="C110" s="51"/>
      <c r="D110" s="51"/>
      <c r="E110" s="51"/>
      <c r="F110" s="51"/>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c r="AV110" s="51"/>
      <c r="AW110" s="51"/>
      <c r="AX110" s="51"/>
      <c r="AY110" s="51"/>
      <c r="AZ110" s="51"/>
      <c r="BA110" s="51"/>
    </row>
    <row r="111" spans="1:53" ht="15.75">
      <c r="A111" s="51"/>
      <c r="B111" s="51"/>
      <c r="C111" s="51"/>
      <c r="D111" s="51"/>
      <c r="E111" s="51"/>
      <c r="F111" s="51"/>
      <c r="G111" s="51"/>
      <c r="H111" s="51"/>
      <c r="I111" s="5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c r="AV111" s="51"/>
      <c r="AW111" s="51"/>
      <c r="AX111" s="51"/>
      <c r="AY111" s="51"/>
      <c r="AZ111" s="51"/>
      <c r="BA111" s="51"/>
    </row>
    <row r="112" spans="1:53" ht="15.75">
      <c r="A112" s="51"/>
      <c r="B112" s="51"/>
      <c r="C112" s="51"/>
      <c r="D112" s="51"/>
      <c r="E112" s="51"/>
      <c r="F112" s="51"/>
      <c r="G112" s="51"/>
      <c r="H112" s="51"/>
      <c r="I112" s="5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c r="AV112" s="51"/>
      <c r="AW112" s="51"/>
      <c r="AX112" s="51"/>
      <c r="AY112" s="51"/>
      <c r="AZ112" s="51"/>
      <c r="BA112" s="51"/>
    </row>
    <row r="113" spans="1:53" ht="15.75">
      <c r="A113" s="51"/>
      <c r="B113" s="51"/>
      <c r="C113" s="51"/>
      <c r="D113" s="51"/>
      <c r="E113" s="51"/>
      <c r="F113" s="51"/>
      <c r="G113" s="51"/>
      <c r="H113" s="51"/>
      <c r="I113" s="5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c r="AV113" s="51"/>
      <c r="AW113" s="51"/>
      <c r="AX113" s="51"/>
      <c r="AY113" s="51"/>
      <c r="AZ113" s="51"/>
      <c r="BA113" s="51"/>
    </row>
    <row r="114" spans="1:53" ht="15.75">
      <c r="A114" s="51"/>
      <c r="B114" s="51"/>
      <c r="C114" s="51"/>
      <c r="D114" s="51"/>
      <c r="E114" s="51"/>
      <c r="F114" s="51"/>
      <c r="G114" s="51"/>
      <c r="H114" s="51"/>
      <c r="I114" s="5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c r="AV114" s="51"/>
      <c r="AW114" s="51"/>
      <c r="AX114" s="51"/>
      <c r="AY114" s="51"/>
      <c r="AZ114" s="51"/>
      <c r="BA114" s="51"/>
    </row>
    <row r="115" spans="1:53" ht="15.75">
      <c r="A115" s="51"/>
      <c r="B115" s="51"/>
      <c r="C115" s="51"/>
      <c r="D115" s="51"/>
      <c r="E115" s="51"/>
      <c r="F115" s="51"/>
      <c r="G115" s="51"/>
      <c r="H115" s="51"/>
      <c r="I115" s="5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c r="AV115" s="51"/>
      <c r="AW115" s="51"/>
      <c r="AX115" s="51"/>
      <c r="AY115" s="51"/>
      <c r="AZ115" s="51"/>
      <c r="BA115" s="51"/>
    </row>
    <row r="116" spans="1:53" ht="15.75">
      <c r="A116" s="51"/>
      <c r="B116" s="51"/>
      <c r="C116" s="51"/>
      <c r="D116" s="51"/>
      <c r="E116" s="51"/>
      <c r="F116" s="51"/>
      <c r="G116" s="51"/>
      <c r="H116" s="51"/>
      <c r="I116" s="51"/>
      <c r="J116" s="51"/>
      <c r="K116" s="51"/>
      <c r="L116" s="51"/>
      <c r="M116" s="51"/>
      <c r="N116" s="51"/>
      <c r="O116" s="51"/>
      <c r="P116" s="51"/>
      <c r="Q116" s="51"/>
      <c r="R116" s="51"/>
      <c r="S116" s="51"/>
      <c r="T116" s="51"/>
      <c r="U116" s="51"/>
      <c r="V116" s="51"/>
      <c r="W116" s="51"/>
      <c r="X116" s="51"/>
      <c r="Y116" s="51"/>
      <c r="Z116" s="51"/>
      <c r="AA116" s="51"/>
      <c r="AB116" s="51"/>
      <c r="AC116" s="51"/>
      <c r="AD116" s="51"/>
      <c r="AE116" s="51"/>
      <c r="AF116" s="51"/>
      <c r="AG116" s="51"/>
      <c r="AH116" s="51"/>
      <c r="AI116" s="51"/>
      <c r="AJ116" s="51"/>
      <c r="AK116" s="51"/>
      <c r="AL116" s="51"/>
      <c r="AM116" s="51"/>
      <c r="AN116" s="51"/>
      <c r="AO116" s="51"/>
      <c r="AP116" s="51"/>
      <c r="AQ116" s="51"/>
      <c r="AR116" s="51"/>
      <c r="AS116" s="51"/>
      <c r="AT116" s="51"/>
      <c r="AU116" s="51"/>
      <c r="AV116" s="51"/>
      <c r="AW116" s="51"/>
      <c r="AX116" s="51"/>
      <c r="AY116" s="51"/>
      <c r="AZ116" s="51"/>
      <c r="BA116" s="51"/>
    </row>
    <row r="117" spans="1:53" ht="15.75">
      <c r="A117" s="51"/>
      <c r="B117" s="51"/>
      <c r="C117" s="51"/>
      <c r="D117" s="51"/>
      <c r="E117" s="51"/>
      <c r="F117" s="51"/>
      <c r="G117" s="51"/>
      <c r="H117" s="51"/>
      <c r="I117" s="51"/>
      <c r="J117" s="51"/>
      <c r="K117" s="51"/>
      <c r="L117" s="51"/>
      <c r="M117" s="51"/>
      <c r="N117" s="51"/>
      <c r="O117" s="51"/>
      <c r="P117" s="51"/>
      <c r="Q117" s="51"/>
      <c r="R117" s="51"/>
      <c r="S117" s="51"/>
      <c r="T117" s="51"/>
      <c r="U117" s="51"/>
      <c r="V117" s="51"/>
      <c r="W117" s="51"/>
      <c r="X117" s="51"/>
      <c r="Y117" s="51"/>
      <c r="Z117" s="51"/>
      <c r="AA117" s="51"/>
      <c r="AB117" s="51"/>
      <c r="AC117" s="51"/>
      <c r="AD117" s="51"/>
      <c r="AE117" s="51"/>
      <c r="AF117" s="51"/>
      <c r="AG117" s="51"/>
      <c r="AH117" s="51"/>
      <c r="AI117" s="51"/>
      <c r="AJ117" s="51"/>
      <c r="AK117" s="51"/>
      <c r="AL117" s="51"/>
      <c r="AM117" s="51"/>
      <c r="AN117" s="51"/>
      <c r="AO117" s="51"/>
      <c r="AP117" s="51"/>
      <c r="AQ117" s="51"/>
      <c r="AR117" s="51"/>
      <c r="AS117" s="51"/>
      <c r="AT117" s="51"/>
      <c r="AU117" s="51"/>
      <c r="AV117" s="51"/>
      <c r="AW117" s="51"/>
      <c r="AX117" s="51"/>
      <c r="AY117" s="51"/>
      <c r="AZ117" s="51"/>
      <c r="BA117" s="51"/>
    </row>
    <row r="118" spans="1:53" ht="15.75">
      <c r="A118" s="51"/>
      <c r="B118" s="51"/>
      <c r="C118" s="51"/>
      <c r="D118" s="51"/>
      <c r="E118" s="51"/>
      <c r="F118" s="51"/>
      <c r="G118" s="51"/>
      <c r="H118" s="51"/>
      <c r="I118" s="51"/>
      <c r="J118" s="51"/>
      <c r="K118" s="51"/>
      <c r="L118" s="51"/>
      <c r="M118" s="51"/>
      <c r="N118" s="51"/>
      <c r="O118" s="51"/>
      <c r="P118" s="51"/>
      <c r="Q118" s="51"/>
      <c r="R118" s="51"/>
      <c r="S118" s="51"/>
      <c r="T118" s="51"/>
      <c r="U118" s="51"/>
      <c r="V118" s="51"/>
      <c r="W118" s="51"/>
      <c r="X118" s="51"/>
      <c r="Y118" s="51"/>
      <c r="Z118" s="51"/>
      <c r="AA118" s="51"/>
      <c r="AB118" s="51"/>
      <c r="AC118" s="51"/>
      <c r="AD118" s="51"/>
      <c r="AE118" s="51"/>
      <c r="AF118" s="51"/>
      <c r="AG118" s="51"/>
      <c r="AH118" s="51"/>
      <c r="AI118" s="51"/>
      <c r="AJ118" s="51"/>
      <c r="AK118" s="51"/>
      <c r="AL118" s="51"/>
      <c r="AM118" s="51"/>
      <c r="AN118" s="51"/>
      <c r="AO118" s="51"/>
      <c r="AP118" s="51"/>
      <c r="AQ118" s="51"/>
      <c r="AR118" s="51"/>
      <c r="AS118" s="51"/>
      <c r="AT118" s="51"/>
      <c r="AU118" s="51"/>
      <c r="AV118" s="51"/>
      <c r="AW118" s="51"/>
      <c r="AX118" s="51"/>
      <c r="AY118" s="51"/>
      <c r="AZ118" s="51"/>
      <c r="BA118" s="51"/>
    </row>
    <row r="119" spans="1:53" ht="15.75">
      <c r="A119" s="51"/>
      <c r="B119" s="51"/>
      <c r="C119" s="51"/>
      <c r="D119" s="51"/>
      <c r="E119" s="51"/>
      <c r="F119" s="51"/>
      <c r="G119" s="51"/>
      <c r="H119" s="51"/>
      <c r="I119" s="51"/>
      <c r="J119" s="51"/>
      <c r="K119" s="51"/>
      <c r="L119" s="51"/>
      <c r="M119" s="51"/>
      <c r="N119" s="51"/>
      <c r="O119" s="51"/>
      <c r="P119" s="51"/>
      <c r="Q119" s="51"/>
      <c r="R119" s="51"/>
      <c r="S119" s="51"/>
      <c r="T119" s="51"/>
      <c r="U119" s="51"/>
      <c r="V119" s="51"/>
      <c r="W119" s="51"/>
      <c r="X119" s="51"/>
      <c r="Y119" s="51"/>
      <c r="Z119" s="51"/>
      <c r="AA119" s="51"/>
      <c r="AB119" s="51"/>
      <c r="AC119" s="51"/>
      <c r="AD119" s="51"/>
      <c r="AE119" s="51"/>
      <c r="AF119" s="51"/>
      <c r="AG119" s="51"/>
      <c r="AH119" s="51"/>
      <c r="AI119" s="51"/>
      <c r="AJ119" s="51"/>
      <c r="AK119" s="51"/>
      <c r="AL119" s="51"/>
      <c r="AM119" s="51"/>
      <c r="AN119" s="51"/>
      <c r="AO119" s="51"/>
      <c r="AP119" s="51"/>
      <c r="AQ119" s="51"/>
      <c r="AR119" s="51"/>
      <c r="AS119" s="51"/>
      <c r="AT119" s="51"/>
      <c r="AU119" s="51"/>
      <c r="AV119" s="51"/>
      <c r="AW119" s="51"/>
      <c r="AX119" s="51"/>
      <c r="AY119" s="51"/>
      <c r="AZ119" s="51"/>
      <c r="BA119" s="51"/>
    </row>
    <row r="120" spans="1:53" ht="15.75">
      <c r="A120" s="51"/>
      <c r="B120" s="51"/>
      <c r="C120" s="51"/>
      <c r="D120" s="51"/>
      <c r="E120" s="51"/>
      <c r="F120" s="51"/>
      <c r="G120" s="51"/>
      <c r="H120" s="51"/>
      <c r="I120" s="51"/>
      <c r="J120" s="51"/>
      <c r="K120" s="51"/>
      <c r="L120" s="51"/>
      <c r="M120" s="51"/>
      <c r="N120" s="51"/>
      <c r="O120" s="51"/>
      <c r="P120" s="51"/>
      <c r="Q120" s="51"/>
      <c r="R120" s="51"/>
      <c r="S120" s="51"/>
      <c r="T120" s="51"/>
      <c r="U120" s="51"/>
      <c r="V120" s="51"/>
      <c r="W120" s="51"/>
      <c r="X120" s="51"/>
      <c r="Y120" s="51"/>
      <c r="Z120" s="51"/>
      <c r="AA120" s="51"/>
      <c r="AB120" s="51"/>
      <c r="AC120" s="51"/>
      <c r="AD120" s="51"/>
      <c r="AE120" s="51"/>
      <c r="AF120" s="51"/>
      <c r="AG120" s="51"/>
      <c r="AH120" s="51"/>
      <c r="AI120" s="51"/>
      <c r="AJ120" s="51"/>
      <c r="AK120" s="51"/>
      <c r="AL120" s="51"/>
      <c r="AM120" s="51"/>
      <c r="AN120" s="51"/>
      <c r="AO120" s="51"/>
      <c r="AP120" s="51"/>
      <c r="AQ120" s="51"/>
      <c r="AR120" s="51"/>
      <c r="AS120" s="51"/>
      <c r="AT120" s="51"/>
      <c r="AU120" s="51"/>
      <c r="AV120" s="51"/>
      <c r="AW120" s="51"/>
      <c r="AX120" s="51"/>
      <c r="AY120" s="51"/>
      <c r="AZ120" s="51"/>
      <c r="BA120" s="51"/>
    </row>
    <row r="121" spans="1:53" ht="15.75">
      <c r="A121" s="51"/>
      <c r="B121" s="51"/>
      <c r="C121" s="51"/>
      <c r="D121" s="51"/>
      <c r="E121" s="51"/>
      <c r="F121" s="51"/>
      <c r="G121" s="51"/>
      <c r="H121" s="51"/>
      <c r="I121" s="51"/>
      <c r="J121" s="51"/>
      <c r="K121" s="51"/>
      <c r="L121" s="51"/>
      <c r="M121" s="51"/>
      <c r="N121" s="51"/>
      <c r="O121" s="51"/>
      <c r="P121" s="51"/>
      <c r="Q121" s="51"/>
      <c r="R121" s="51"/>
      <c r="S121" s="51"/>
      <c r="T121" s="51"/>
      <c r="U121" s="51"/>
      <c r="V121" s="51"/>
      <c r="W121" s="51"/>
      <c r="X121" s="51"/>
      <c r="Y121" s="51"/>
      <c r="Z121" s="51"/>
      <c r="AA121" s="51"/>
      <c r="AB121" s="51"/>
      <c r="AC121" s="51"/>
      <c r="AD121" s="51"/>
      <c r="AE121" s="51"/>
      <c r="AF121" s="51"/>
      <c r="AG121" s="51"/>
      <c r="AH121" s="51"/>
      <c r="AI121" s="51"/>
      <c r="AJ121" s="51"/>
      <c r="AK121" s="51"/>
      <c r="AL121" s="51"/>
      <c r="AM121" s="51"/>
      <c r="AN121" s="51"/>
      <c r="AO121" s="51"/>
      <c r="AP121" s="51"/>
      <c r="AQ121" s="51"/>
      <c r="AR121" s="51"/>
      <c r="AS121" s="51"/>
      <c r="AT121" s="51"/>
      <c r="AU121" s="51"/>
      <c r="AV121" s="51"/>
      <c r="AW121" s="51"/>
      <c r="AX121" s="51"/>
      <c r="AY121" s="51"/>
      <c r="AZ121" s="51"/>
      <c r="BA121" s="51"/>
    </row>
    <row r="122" spans="1:53" ht="15.75">
      <c r="A122" s="51"/>
      <c r="B122" s="51"/>
      <c r="C122" s="51"/>
      <c r="D122" s="51"/>
      <c r="E122" s="51"/>
      <c r="F122" s="51"/>
      <c r="G122" s="51"/>
      <c r="H122" s="51"/>
      <c r="I122" s="51"/>
      <c r="J122" s="51"/>
      <c r="K122" s="51"/>
      <c r="L122" s="51"/>
      <c r="M122" s="51"/>
      <c r="N122" s="51"/>
      <c r="O122" s="51"/>
      <c r="P122" s="51"/>
      <c r="Q122" s="51"/>
      <c r="R122" s="51"/>
      <c r="S122" s="51"/>
      <c r="T122" s="51"/>
      <c r="U122" s="51"/>
      <c r="V122" s="51"/>
      <c r="W122" s="51"/>
      <c r="X122" s="51"/>
      <c r="Y122" s="51"/>
      <c r="Z122" s="51"/>
      <c r="AA122" s="51"/>
      <c r="AB122" s="51"/>
      <c r="AC122" s="51"/>
      <c r="AD122" s="51"/>
      <c r="AE122" s="51"/>
      <c r="AF122" s="51"/>
      <c r="AG122" s="51"/>
      <c r="AH122" s="51"/>
      <c r="AI122" s="51"/>
      <c r="AJ122" s="51"/>
      <c r="AK122" s="51"/>
      <c r="AL122" s="51"/>
      <c r="AM122" s="51"/>
      <c r="AN122" s="51"/>
      <c r="AO122" s="51"/>
      <c r="AP122" s="51"/>
      <c r="AQ122" s="51"/>
      <c r="AR122" s="51"/>
      <c r="AS122" s="51"/>
      <c r="AT122" s="51"/>
      <c r="AU122" s="51"/>
      <c r="AV122" s="51"/>
      <c r="AW122" s="51"/>
      <c r="AX122" s="51"/>
      <c r="AY122" s="51"/>
      <c r="AZ122" s="51"/>
      <c r="BA122" s="51"/>
    </row>
  </sheetData>
  <phoneticPr fontId="8" type="noConversion"/>
  <dataValidations count="14">
    <dataValidation type="list" allowBlank="1" showInputMessage="1" sqref="C12">
      <formula1>'[4]6755_coolers'!A2:A134</formula1>
    </dataValidation>
    <dataValidation type="list" allowBlank="1" showInputMessage="1" showErrorMessage="1" sqref="C13:C15 AA20:AA22">
      <formula1>"NULL, CPU0 loading(%), Wifi usage(Kb/s), EXIT, mtktscpu, mtktsabb, mtktspmic, mtktsbattery, mtktspa, mtktswmt, mtktsAP, mtktsbuck, mtktsbattery2, mtktsxtal"</formula1>
    </dataValidation>
    <dataValidation type="list" allowBlank="1" showInputMessage="1" sqref="AA5">
      <formula1>'[3]6755_coolers'!A2:A134</formula1>
    </dataValidation>
    <dataValidation type="list" allowBlank="1" showInputMessage="1" sqref="AE5">
      <formula1>'[2]6755_coolers'!A2:A134</formula1>
    </dataValidation>
    <dataValidation type="list" allowBlank="1" showInputMessage="1" showErrorMessage="1" sqref="AE1">
      <formula1>'[2]6755_tz'!A2:A97</formula1>
    </dataValidation>
    <dataValidation type="list" allowBlank="1" showInputMessage="1" showErrorMessage="1" sqref="K13:K15 AY20:AY22 AE55:AE57 AE48:AE50 AE41:AE43 AE34:AE36 AE27:AE29 AE20:AE22 AE69:AE71 AE13:AE15 AE62:AE64 AA13:AA15 AI6:AI8 O13:O15 O69:O71 O20:O22 O27:O29 O34:O36 O41:O43 O6:O8 O48:O50 O55:O57 O62:O64 C69:C71 C34:C36 C6:C8 C48:C50 C55:C57 C62:C64 S13:S15 S69:S71 S20:S22 S27:S29 S34:S36 S41:S43 S6:S8 S48:S50 S55:S57 S62:S64 AA41:AA43 G69:G71 G20:G22 K69:K71 G27:G29 G34:G36 G41:G43 K20:K22 K34:K36 G6:G8 G48:G50 G55:G57 K41:K43 AY6:AY8 G62:G64 K48:K50 K55:K57 K62:K64 W13:W15 W69:W71 W20:W22 W27:W29 W34:W36 W41:W43 W6:W8 W48:W50 W55:W57 W62:W64 C27:C29 AU6:AU8 AM6:AM8 G13:G15 AA55:AA57 AA48:AA50 AA6:AA8 AA27:AA29 C20:C22 AY62:AY64 AA69:AA71 AY69:AY71 AA62:AA64 AI55:AI57 AI41:AI43 AI34:AI36 AI27:AI29 AY13:AY15 AI48:AI50 AI69:AI71 C41:C43 AI62:AI64 AE6:AE8 AM55:AM57 AM48:AM50 AM41:AM43 AM34:AM36 AM27:AM29 AM20:AM22 AM69:AM71 AM13:AM15 AM62:AM64 K6:K8 AQ55:AQ57 AQ48:AQ50 AQ41:AQ43 AQ34:AQ36 AQ27:AQ29 AQ20:AQ22 AQ69:AQ71 AQ13:AQ15 AQ62:AQ64 K27:K29 AU55:AU57 AU48:AU50 AU41:AU43 AU34:AU36 AU27:AU29 AU20:AU22 AU69:AU71 AU13:AU15 AU62:AU64 AQ6:AQ8 AY55:AY57 AY48:AY50 AY41:AY43 AY34:AY36 AY27:AY29 AI13:AI15 AI20:AI22 AA34:AA36">
      <formula1>"NULL, CPU0 loading(%), Wifi usage(Kb/s), &lt; Mobile usage(Kb/s), EXIT, mtktscpu, mtktsabb, mtktspmic, mtktsbattery, mtktspa, mtktswmt, mtktsAP, mtktsbuck, mtktsbattery2, mtktsxtal"</formula1>
    </dataValidation>
    <dataValidation type="list" allowBlank="1" showInputMessage="1" showErrorMessage="1" sqref="T77 D1 H1 T1 X1 P1 L1 X77 AB1 AN1 AR1 H77 AJ77 AZ77 L77 AB77 P77 D77 AV1 AZ1 AV77 AF77 AJ1 AN77 AR77 AF1">
      <formula1>"ENABLE,DISABLE"</formula1>
    </dataValidation>
    <dataValidation type="decimal" allowBlank="1" showInputMessage="1" showErrorMessage="1" errorTitle="Invalid" error="Must be 0 or 1" promptTitle="kernel log" prompt="[1, max step]" sqref="AN78 AR78 AV78">
      <formula1>1</formula1>
      <formula2>5</formula2>
    </dataValidation>
    <dataValidation type="decimal" allowBlank="1" showInputMessage="1" showErrorMessage="1" errorTitle="Invalid" error="Must between [-1, 65535]" promptTitle="Range" prompt="0 or between [100, 25500]" sqref="AN79:AN80 AR79:AR80 AV79:AV80 AJ79:AJ86">
      <formula1>0</formula1>
      <formula2>25500</formula2>
    </dataValidation>
    <dataValidation type="decimal" allowBlank="1" showInputMessage="1" showErrorMessage="1" errorTitle="Invalid" error="Must be 0 or 1" promptTitle="kernel log" prompt="0, off (default)_x000a_1, on" sqref="L78 AJ78">
      <formula1>0</formula1>
      <formula2>1</formula2>
    </dataValidation>
    <dataValidation type="decimal" allowBlank="1" showInputMessage="1" showErrorMessage="1" errorTitle="Invalid" error="Must between [-1, 65535]" promptTitle="Range" prompt="between [-1, 65535]" sqref="L79:L81">
      <formula1>-1</formula1>
      <formula2>65535</formula2>
    </dataValidation>
    <dataValidation type="list" allowBlank="1" showInputMessage="1" showErrorMessage="1" sqref="AI1 C1 G1 AY1 O1 S1 W1 AA1 K1 AM1 AQ1 AU1">
      <formula1>'6755_tz'!A2:A97</formula1>
    </dataValidation>
    <dataValidation type="list" allowBlank="1" showInputMessage="1" sqref="AE61 AE47 AE40 AE33 AE26 AE19 AE12 AE68 AA12 AU5 C5 C33 C47 C54 C61 C68 AI5 G5 G19 G26 G33 G40 G47 G54 G61 G68 AY19 AI47 AY26 K19 K33 K40 K47 K54 K61 K68 O12 O5 O19 O26 O33 O40 O47 O54 O61 O68 S12 S5 S19 S26 S33 S40 S47 S54 S61 S68 W12 W5 W19 W26 W33 W40 W47 W54 W61 W68 C40 AY47 G12 AA68 AA61 AA54 AA47 AA33 C19 AY12 AY68 C26 AY40 AI61 AI54 AI40 AI33 K12 AY33 AA40 AE54 AI68 AM5 AM61 AM54 AM47 AM40 AM33 AM26 AM19 AM12 AM68 K5 AQ61 AQ54 AQ47 AQ40 AQ33 AQ26 AQ19 AQ12 AQ68 AA26 AU61 AU54 AU47 AU40 AU33 AU26 AU19 AU12 AU68 AQ5 AY61 AY54 AI26 AI19 AI12 AY5 K26">
      <formula1>'6755_coolers'!A2:A137</formula1>
    </dataValidation>
    <dataValidation type="list" allowBlank="1" showInputMessage="1" sqref="AA19">
      <formula1>'[1]6735_coolers'!A2:A134</formula1>
    </dataValidation>
  </dataValidations>
  <pageMargins left="0.7" right="0.7" top="0.75" bottom="0.75" header="0.3" footer="0.3"/>
  <pageSetup paperSize="9" orientation="portrait" r:id="rId1"/>
  <legacyDrawing r:id="rId2"/>
</worksheet>
</file>

<file path=xl/worksheets/sheet13.xml><?xml version="1.0" encoding="utf-8"?>
<worksheet xmlns="http://schemas.openxmlformats.org/spreadsheetml/2006/main" xmlns:r="http://schemas.openxmlformats.org/officeDocument/2006/relationships">
  <sheetPr codeName="Sheet48"/>
  <dimension ref="A1:BA122"/>
  <sheetViews>
    <sheetView zoomScale="90" zoomScaleNormal="90" workbookViewId="0">
      <selection activeCell="J56" sqref="J56"/>
    </sheetView>
  </sheetViews>
  <sheetFormatPr defaultRowHeight="14.2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9.140625" style="7"/>
    <col min="54" max="16384" width="9.140625" style="1"/>
  </cols>
  <sheetData>
    <row r="1" spans="1:53" ht="57.75" customHeight="1">
      <c r="B1" s="2" t="s">
        <v>35</v>
      </c>
      <c r="C1" s="3" t="s">
        <v>23</v>
      </c>
      <c r="D1" s="4" t="s">
        <v>36</v>
      </c>
      <c r="E1" s="5"/>
      <c r="F1" s="2" t="s">
        <v>35</v>
      </c>
      <c r="G1" s="3" t="s">
        <v>24</v>
      </c>
      <c r="H1" s="4" t="s">
        <v>36</v>
      </c>
      <c r="I1" s="5"/>
      <c r="J1" s="2" t="s">
        <v>35</v>
      </c>
      <c r="K1" s="3" t="s">
        <v>25</v>
      </c>
      <c r="L1" s="4" t="s">
        <v>36</v>
      </c>
      <c r="M1" s="6"/>
      <c r="N1" s="2" t="s">
        <v>35</v>
      </c>
      <c r="O1" s="3" t="s">
        <v>26</v>
      </c>
      <c r="P1" s="4" t="s">
        <v>36</v>
      </c>
      <c r="Q1" s="6"/>
      <c r="R1" s="2" t="s">
        <v>35</v>
      </c>
      <c r="S1" s="3" t="s">
        <v>34</v>
      </c>
      <c r="T1" s="4" t="s">
        <v>36</v>
      </c>
      <c r="U1" s="6"/>
      <c r="V1" s="2" t="s">
        <v>35</v>
      </c>
      <c r="W1" s="3" t="s">
        <v>27</v>
      </c>
      <c r="X1" s="4" t="s">
        <v>36</v>
      </c>
      <c r="Y1" s="6"/>
      <c r="Z1" s="2" t="s">
        <v>35</v>
      </c>
      <c r="AA1" s="3" t="s">
        <v>68</v>
      </c>
      <c r="AB1" s="4" t="s">
        <v>36</v>
      </c>
      <c r="AC1" s="6"/>
      <c r="AD1" s="2" t="s">
        <v>35</v>
      </c>
      <c r="AE1" s="3" t="s">
        <v>69</v>
      </c>
      <c r="AF1" s="4" t="s">
        <v>36</v>
      </c>
      <c r="AG1" s="6"/>
      <c r="AH1" s="2" t="s">
        <v>35</v>
      </c>
      <c r="AI1" s="3" t="s">
        <v>132</v>
      </c>
      <c r="AJ1" s="4" t="s">
        <v>36</v>
      </c>
      <c r="AK1" s="6"/>
      <c r="AL1" s="2" t="s">
        <v>35</v>
      </c>
      <c r="AM1" s="3" t="s">
        <v>128</v>
      </c>
      <c r="AN1" s="4" t="s">
        <v>36</v>
      </c>
      <c r="AO1" s="6"/>
      <c r="AP1" s="2" t="s">
        <v>35</v>
      </c>
      <c r="AQ1" s="3" t="s">
        <v>219</v>
      </c>
      <c r="AR1" s="4" t="s">
        <v>36</v>
      </c>
      <c r="AS1" s="6"/>
      <c r="AT1" s="2" t="s">
        <v>35</v>
      </c>
      <c r="AU1" s="3" t="s">
        <v>220</v>
      </c>
      <c r="AV1" s="4" t="s">
        <v>36</v>
      </c>
      <c r="AW1" s="6"/>
      <c r="AX1" s="2" t="s">
        <v>35</v>
      </c>
      <c r="AY1" s="3" t="s">
        <v>221</v>
      </c>
      <c r="AZ1" s="4" t="s">
        <v>36</v>
      </c>
      <c r="BA1"/>
    </row>
    <row r="2" spans="1:53" ht="30.75" customHeight="1">
      <c r="B2" s="2" t="s">
        <v>9</v>
      </c>
      <c r="C2" s="3">
        <v>3</v>
      </c>
      <c r="D2" s="8"/>
      <c r="E2" s="9"/>
      <c r="F2" s="2" t="s">
        <v>9</v>
      </c>
      <c r="G2" s="3">
        <v>1</v>
      </c>
      <c r="H2" s="8"/>
      <c r="I2" s="10"/>
      <c r="J2" s="2" t="s">
        <v>9</v>
      </c>
      <c r="K2" s="3">
        <v>1</v>
      </c>
      <c r="L2" s="8"/>
      <c r="M2" s="10"/>
      <c r="N2" s="2" t="s">
        <v>9</v>
      </c>
      <c r="O2" s="3">
        <v>1</v>
      </c>
      <c r="P2" s="8"/>
      <c r="Q2" s="10"/>
      <c r="R2" s="2" t="s">
        <v>9</v>
      </c>
      <c r="S2" s="3">
        <v>1</v>
      </c>
      <c r="T2" s="8"/>
      <c r="U2" s="10"/>
      <c r="V2" s="2" t="s">
        <v>9</v>
      </c>
      <c r="W2" s="3">
        <v>1</v>
      </c>
      <c r="X2" s="8"/>
      <c r="Y2" s="10"/>
      <c r="Z2" s="2" t="s">
        <v>9</v>
      </c>
      <c r="AA2" s="3">
        <v>1</v>
      </c>
      <c r="AB2" s="8"/>
      <c r="AC2" s="10"/>
      <c r="AD2" s="2" t="s">
        <v>9</v>
      </c>
      <c r="AE2" s="3">
        <v>1</v>
      </c>
      <c r="AF2" s="8"/>
      <c r="AG2" s="10"/>
      <c r="AH2" s="2" t="s">
        <v>9</v>
      </c>
      <c r="AI2" s="3">
        <v>1</v>
      </c>
      <c r="AJ2" s="8"/>
      <c r="AK2" s="10"/>
      <c r="AL2" s="2" t="s">
        <v>9</v>
      </c>
      <c r="AM2" s="3">
        <v>0</v>
      </c>
      <c r="AN2" s="8"/>
      <c r="AO2" s="10"/>
      <c r="AP2" s="2" t="s">
        <v>9</v>
      </c>
      <c r="AQ2" s="3">
        <v>0</v>
      </c>
      <c r="AR2" s="8"/>
      <c r="AS2" s="10"/>
      <c r="AT2" s="2" t="s">
        <v>9</v>
      </c>
      <c r="AU2" s="3">
        <v>0</v>
      </c>
      <c r="AV2" s="8"/>
      <c r="AW2" s="10"/>
      <c r="AX2" s="2" t="s">
        <v>9</v>
      </c>
      <c r="AY2" s="3">
        <v>0</v>
      </c>
      <c r="AZ2" s="8"/>
      <c r="BA2"/>
    </row>
    <row r="3" spans="1:53" ht="15" customHeight="1">
      <c r="A3" s="11"/>
      <c r="B3" s="12" t="s">
        <v>7</v>
      </c>
      <c r="C3" s="13">
        <v>117000</v>
      </c>
      <c r="D3" s="14"/>
      <c r="E3" s="9"/>
      <c r="F3" s="12" t="s">
        <v>7</v>
      </c>
      <c r="G3" s="13">
        <v>145000</v>
      </c>
      <c r="H3" s="14"/>
      <c r="I3" s="10"/>
      <c r="J3" s="12" t="s">
        <v>7</v>
      </c>
      <c r="K3" s="13">
        <v>60000</v>
      </c>
      <c r="L3" s="14"/>
      <c r="M3" s="10"/>
      <c r="N3" s="12" t="s">
        <v>7</v>
      </c>
      <c r="O3" s="13">
        <v>120000</v>
      </c>
      <c r="P3" s="14"/>
      <c r="Q3" s="10"/>
      <c r="R3" s="12" t="s">
        <v>7</v>
      </c>
      <c r="S3" s="13">
        <v>117000</v>
      </c>
      <c r="T3" s="14"/>
      <c r="U3" s="10"/>
      <c r="V3" s="12" t="s">
        <v>7</v>
      </c>
      <c r="W3" s="13">
        <v>120000</v>
      </c>
      <c r="X3" s="14"/>
      <c r="Y3" s="10"/>
      <c r="Z3" s="12" t="s">
        <v>7</v>
      </c>
      <c r="AA3" s="44">
        <v>90000</v>
      </c>
      <c r="AB3" s="14"/>
      <c r="AC3" s="10"/>
      <c r="AD3" s="12" t="s">
        <v>7</v>
      </c>
      <c r="AE3" s="13">
        <v>120000</v>
      </c>
      <c r="AF3" s="14"/>
      <c r="AG3" s="10"/>
      <c r="AH3" s="12" t="s">
        <v>7</v>
      </c>
      <c r="AI3" s="13">
        <v>200000</v>
      </c>
      <c r="AJ3" s="14"/>
      <c r="AK3" s="10"/>
      <c r="AL3" s="12" t="s">
        <v>7</v>
      </c>
      <c r="AM3" s="13">
        <v>0</v>
      </c>
      <c r="AN3" s="14"/>
      <c r="AO3" s="10"/>
      <c r="AP3" s="12" t="s">
        <v>7</v>
      </c>
      <c r="AQ3" s="13">
        <v>0</v>
      </c>
      <c r="AR3" s="14"/>
      <c r="AS3" s="10"/>
      <c r="AT3" s="12" t="s">
        <v>7</v>
      </c>
      <c r="AU3" s="13">
        <v>0</v>
      </c>
      <c r="AV3" s="14"/>
      <c r="AW3" s="10"/>
      <c r="AX3" s="12" t="s">
        <v>7</v>
      </c>
      <c r="AY3" s="13">
        <v>0</v>
      </c>
      <c r="AZ3" s="14"/>
      <c r="BA3"/>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15">
        <v>0</v>
      </c>
      <c r="AJ4" s="14"/>
      <c r="AK4" s="10"/>
      <c r="AL4" s="12" t="s">
        <v>6</v>
      </c>
      <c r="AM4" s="15">
        <v>0</v>
      </c>
      <c r="AN4" s="14"/>
      <c r="AO4" s="10"/>
      <c r="AP4" s="12" t="s">
        <v>6</v>
      </c>
      <c r="AQ4" s="15">
        <v>0</v>
      </c>
      <c r="AR4" s="14"/>
      <c r="AS4" s="10"/>
      <c r="AT4" s="12" t="s">
        <v>6</v>
      </c>
      <c r="AU4" s="15">
        <v>0</v>
      </c>
      <c r="AV4" s="14"/>
      <c r="AW4" s="10"/>
      <c r="AX4" s="12" t="s">
        <v>6</v>
      </c>
      <c r="AY4" s="15">
        <v>0</v>
      </c>
      <c r="AZ4" s="14"/>
      <c r="BA4"/>
    </row>
    <row r="5" spans="1:53" ht="15" customHeight="1">
      <c r="A5" s="11"/>
      <c r="B5" s="12" t="s">
        <v>5</v>
      </c>
      <c r="C5" s="13" t="s">
        <v>15</v>
      </c>
      <c r="D5" s="14"/>
      <c r="E5" s="9"/>
      <c r="F5" s="12" t="s">
        <v>5</v>
      </c>
      <c r="G5" s="13" t="s">
        <v>1</v>
      </c>
      <c r="H5" s="14"/>
      <c r="I5" s="10"/>
      <c r="J5" s="12" t="s">
        <v>5</v>
      </c>
      <c r="K5" s="13" t="s">
        <v>2</v>
      </c>
      <c r="L5" s="14"/>
      <c r="M5" s="10"/>
      <c r="N5" s="12" t="s">
        <v>5</v>
      </c>
      <c r="O5" s="13" t="s">
        <v>17</v>
      </c>
      <c r="P5" s="14"/>
      <c r="Q5" s="10"/>
      <c r="R5" s="12" t="s">
        <v>5</v>
      </c>
      <c r="S5" s="13" t="s">
        <v>0</v>
      </c>
      <c r="T5" s="14"/>
      <c r="U5" s="10"/>
      <c r="V5" s="12" t="s">
        <v>5</v>
      </c>
      <c r="W5" s="13" t="s">
        <v>16</v>
      </c>
      <c r="X5" s="14"/>
      <c r="Y5" s="10"/>
      <c r="Z5" s="12" t="s">
        <v>5</v>
      </c>
      <c r="AA5" s="13" t="s">
        <v>3</v>
      </c>
      <c r="AB5" s="14"/>
      <c r="AC5" s="10"/>
      <c r="AD5" s="12" t="s">
        <v>5</v>
      </c>
      <c r="AE5" s="13" t="s">
        <v>108</v>
      </c>
      <c r="AF5" s="14"/>
      <c r="AG5" s="10"/>
      <c r="AH5" s="12" t="s">
        <v>5</v>
      </c>
      <c r="AI5" s="13" t="s">
        <v>109</v>
      </c>
      <c r="AJ5" s="14"/>
      <c r="AK5" s="10"/>
      <c r="AL5" s="12" t="s">
        <v>5</v>
      </c>
      <c r="AM5" s="13" t="s">
        <v>4</v>
      </c>
      <c r="AN5" s="14"/>
      <c r="AO5" s="10"/>
      <c r="AP5" s="12" t="s">
        <v>5</v>
      </c>
      <c r="AQ5" s="13" t="s">
        <v>4</v>
      </c>
      <c r="AR5" s="14"/>
      <c r="AS5" s="10"/>
      <c r="AT5" s="12" t="s">
        <v>5</v>
      </c>
      <c r="AU5" s="13" t="s">
        <v>4</v>
      </c>
      <c r="AV5" s="14"/>
      <c r="AW5" s="10"/>
      <c r="AX5" s="12" t="s">
        <v>5</v>
      </c>
      <c r="AY5" s="13" t="s">
        <v>4</v>
      </c>
      <c r="AZ5" s="14"/>
      <c r="BA5"/>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4">
        <v>0</v>
      </c>
      <c r="AG6" s="10"/>
      <c r="AH6" s="12" t="s">
        <v>11</v>
      </c>
      <c r="AI6" s="15" t="s">
        <v>13</v>
      </c>
      <c r="AJ6" s="14">
        <v>0</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row>
    <row r="10" spans="1:53" ht="15" customHeight="1">
      <c r="A10" s="11"/>
      <c r="B10" s="12" t="s">
        <v>7</v>
      </c>
      <c r="C10" s="44">
        <v>105000</v>
      </c>
      <c r="D10" s="14"/>
      <c r="E10" s="10"/>
      <c r="F10" s="12" t="s">
        <v>7</v>
      </c>
      <c r="G10" s="13">
        <v>0</v>
      </c>
      <c r="H10" s="14"/>
      <c r="I10" s="10"/>
      <c r="J10" s="12" t="s">
        <v>7</v>
      </c>
      <c r="K10" s="13">
        <v>0</v>
      </c>
      <c r="L10" s="14"/>
      <c r="M10" s="10"/>
      <c r="N10" s="12" t="s">
        <v>7</v>
      </c>
      <c r="O10" s="13">
        <v>0</v>
      </c>
      <c r="P10" s="14"/>
      <c r="Q10" s="10"/>
      <c r="R10" s="12" t="s">
        <v>7</v>
      </c>
      <c r="S10" s="13">
        <v>0</v>
      </c>
      <c r="T10" s="14"/>
      <c r="U10" s="10"/>
      <c r="V10" s="12" t="s">
        <v>7</v>
      </c>
      <c r="W10" s="13">
        <v>0</v>
      </c>
      <c r="X10" s="14"/>
      <c r="Y10" s="10"/>
      <c r="Z10" s="12" t="s">
        <v>7</v>
      </c>
      <c r="AA10" s="13">
        <v>0</v>
      </c>
      <c r="AB10" s="14"/>
      <c r="AC10" s="10"/>
      <c r="AD10" s="12" t="s">
        <v>7</v>
      </c>
      <c r="AE10" s="13">
        <v>0</v>
      </c>
      <c r="AF10" s="14"/>
      <c r="AG10" s="10"/>
      <c r="AH10" s="12" t="s">
        <v>7</v>
      </c>
      <c r="AI10" s="13">
        <v>0</v>
      </c>
      <c r="AJ10" s="14"/>
      <c r="AK10" s="10"/>
      <c r="AL10" s="12" t="s">
        <v>7</v>
      </c>
      <c r="AM10" s="13">
        <v>0</v>
      </c>
      <c r="AN10" s="14"/>
      <c r="AO10" s="10"/>
      <c r="AP10" s="12" t="s">
        <v>7</v>
      </c>
      <c r="AQ10" s="13">
        <v>0</v>
      </c>
      <c r="AR10" s="14"/>
      <c r="AS10" s="10"/>
      <c r="AT10" s="12" t="s">
        <v>7</v>
      </c>
      <c r="AU10" s="13">
        <v>0</v>
      </c>
      <c r="AV10" s="14"/>
      <c r="AW10" s="10"/>
      <c r="AX10" s="12" t="s">
        <v>7</v>
      </c>
      <c r="AY10" s="13">
        <v>0</v>
      </c>
      <c r="AZ10" s="14"/>
      <c r="BA10"/>
    </row>
    <row r="11" spans="1:53" ht="15" customHeight="1">
      <c r="A11" s="11"/>
      <c r="B11" s="12" t="s">
        <v>6</v>
      </c>
      <c r="C11" s="15">
        <v>0</v>
      </c>
      <c r="D11" s="14"/>
      <c r="E11" s="10"/>
      <c r="F11" s="12" t="s">
        <v>6</v>
      </c>
      <c r="G11" s="15">
        <v>0</v>
      </c>
      <c r="H11" s="14"/>
      <c r="I11" s="10"/>
      <c r="J11" s="12" t="s">
        <v>6</v>
      </c>
      <c r="K11" s="15">
        <v>0</v>
      </c>
      <c r="L11" s="14"/>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15">
        <v>0</v>
      </c>
      <c r="AJ11" s="14"/>
      <c r="AK11" s="10"/>
      <c r="AL11" s="12" t="s">
        <v>6</v>
      </c>
      <c r="AM11" s="15">
        <v>0</v>
      </c>
      <c r="AN11" s="14"/>
      <c r="AO11" s="10"/>
      <c r="AP11" s="12" t="s">
        <v>6</v>
      </c>
      <c r="AQ11" s="15">
        <v>0</v>
      </c>
      <c r="AR11" s="14"/>
      <c r="AS11" s="10"/>
      <c r="AT11" s="12" t="s">
        <v>6</v>
      </c>
      <c r="AU11" s="15">
        <v>0</v>
      </c>
      <c r="AV11" s="14"/>
      <c r="AW11" s="10"/>
      <c r="AX11" s="12" t="s">
        <v>6</v>
      </c>
      <c r="AY11" s="15">
        <v>0</v>
      </c>
      <c r="AZ11" s="14"/>
      <c r="BA11"/>
    </row>
    <row r="12" spans="1:53" ht="15" customHeight="1">
      <c r="A12" s="11"/>
      <c r="B12" s="12" t="s">
        <v>5</v>
      </c>
      <c r="C12" s="13" t="s">
        <v>107</v>
      </c>
      <c r="D12" s="14"/>
      <c r="E12" s="10"/>
      <c r="F12" s="12" t="s">
        <v>5</v>
      </c>
      <c r="G12" s="13" t="s">
        <v>4</v>
      </c>
      <c r="H12" s="14"/>
      <c r="I12" s="10"/>
      <c r="J12" s="12" t="s">
        <v>5</v>
      </c>
      <c r="K12" s="13" t="s">
        <v>4</v>
      </c>
      <c r="L12" s="14"/>
      <c r="M12" s="10"/>
      <c r="N12" s="12" t="s">
        <v>5</v>
      </c>
      <c r="O12" s="13" t="s">
        <v>4</v>
      </c>
      <c r="P12" s="14"/>
      <c r="Q12" s="10"/>
      <c r="R12" s="12" t="s">
        <v>5</v>
      </c>
      <c r="S12" s="13" t="s">
        <v>4</v>
      </c>
      <c r="T12" s="14"/>
      <c r="U12" s="10"/>
      <c r="V12" s="12" t="s">
        <v>5</v>
      </c>
      <c r="W12" s="13" t="s">
        <v>4</v>
      </c>
      <c r="X12" s="14"/>
      <c r="Y12" s="10"/>
      <c r="Z12" s="12" t="s">
        <v>5</v>
      </c>
      <c r="AA12" s="13" t="s">
        <v>4</v>
      </c>
      <c r="AB12" s="14"/>
      <c r="AC12" s="10"/>
      <c r="AD12" s="12" t="s">
        <v>5</v>
      </c>
      <c r="AE12" s="13" t="s">
        <v>4</v>
      </c>
      <c r="AF12" s="14"/>
      <c r="AG12" s="10"/>
      <c r="AH12" s="12" t="s">
        <v>5</v>
      </c>
      <c r="AI12" s="13" t="s">
        <v>4</v>
      </c>
      <c r="AJ12" s="14"/>
      <c r="AK12" s="10"/>
      <c r="AL12" s="12" t="s">
        <v>5</v>
      </c>
      <c r="AM12" s="13" t="s">
        <v>4</v>
      </c>
      <c r="AN12" s="14"/>
      <c r="AO12" s="10"/>
      <c r="AP12" s="12" t="s">
        <v>5</v>
      </c>
      <c r="AQ12" s="13" t="s">
        <v>4</v>
      </c>
      <c r="AR12" s="14"/>
      <c r="AS12" s="10"/>
      <c r="AT12" s="12" t="s">
        <v>5</v>
      </c>
      <c r="AU12" s="13" t="s">
        <v>4</v>
      </c>
      <c r="AV12" s="14"/>
      <c r="AW12" s="10"/>
      <c r="AX12" s="12" t="s">
        <v>5</v>
      </c>
      <c r="AY12" s="13" t="s">
        <v>4</v>
      </c>
      <c r="AZ12" s="14"/>
      <c r="BA12"/>
    </row>
    <row r="13" spans="1:53" ht="15" customHeight="1">
      <c r="A13" s="11"/>
      <c r="B13" s="12" t="s">
        <v>11</v>
      </c>
      <c r="C13" s="15" t="s">
        <v>13</v>
      </c>
      <c r="D13" s="14">
        <v>0</v>
      </c>
      <c r="E13" s="9"/>
      <c r="F13" s="12" t="s">
        <v>11</v>
      </c>
      <c r="G13" s="15" t="s">
        <v>13</v>
      </c>
      <c r="H13" s="14">
        <v>0</v>
      </c>
      <c r="I13" s="10"/>
      <c r="J13" s="12" t="s">
        <v>11</v>
      </c>
      <c r="K13" s="15" t="s">
        <v>13</v>
      </c>
      <c r="L13" s="14">
        <v>0</v>
      </c>
      <c r="M13" s="10"/>
      <c r="N13" s="12" t="s">
        <v>11</v>
      </c>
      <c r="O13" s="15" t="s">
        <v>13</v>
      </c>
      <c r="P13" s="14">
        <v>0</v>
      </c>
      <c r="Q13" s="10"/>
      <c r="R13" s="12" t="s">
        <v>11</v>
      </c>
      <c r="S13" s="15" t="s">
        <v>13</v>
      </c>
      <c r="T13" s="14">
        <v>0</v>
      </c>
      <c r="U13" s="10"/>
      <c r="V13" s="12" t="s">
        <v>11</v>
      </c>
      <c r="W13" s="15" t="s">
        <v>13</v>
      </c>
      <c r="X13" s="14">
        <v>0</v>
      </c>
      <c r="Y13" s="10"/>
      <c r="Z13" s="12" t="s">
        <v>11</v>
      </c>
      <c r="AA13" s="15" t="s">
        <v>13</v>
      </c>
      <c r="AB13" s="14">
        <v>0</v>
      </c>
      <c r="AC13" s="10"/>
      <c r="AD13" s="12" t="s">
        <v>11</v>
      </c>
      <c r="AE13" s="15" t="s">
        <v>13</v>
      </c>
      <c r="AF13" s="14">
        <v>0</v>
      </c>
      <c r="AG13" s="10"/>
      <c r="AH13" s="12" t="s">
        <v>11</v>
      </c>
      <c r="AI13" s="15" t="s">
        <v>13</v>
      </c>
      <c r="AJ13" s="14">
        <v>0</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row>
    <row r="14" spans="1:53" ht="15" customHeight="1">
      <c r="A14" s="11"/>
      <c r="B14" s="12" t="s">
        <v>12</v>
      </c>
      <c r="C14" s="15" t="s">
        <v>13</v>
      </c>
      <c r="D14" s="16">
        <v>0</v>
      </c>
      <c r="E14" s="9"/>
      <c r="F14" s="12" t="s">
        <v>12</v>
      </c>
      <c r="G14" s="15" t="s">
        <v>13</v>
      </c>
      <c r="H14" s="14">
        <v>0</v>
      </c>
      <c r="I14" s="10"/>
      <c r="J14" s="12" t="s">
        <v>12</v>
      </c>
      <c r="K14" s="15" t="s">
        <v>13</v>
      </c>
      <c r="L14" s="14">
        <v>0</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4">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row>
    <row r="15" spans="1:53" ht="15" customHeight="1">
      <c r="A15" s="11"/>
      <c r="B15" s="12" t="s">
        <v>14</v>
      </c>
      <c r="C15" s="15" t="s">
        <v>13</v>
      </c>
      <c r="D15" s="14">
        <v>0</v>
      </c>
      <c r="E15" s="9"/>
      <c r="F15" s="12" t="s">
        <v>14</v>
      </c>
      <c r="G15" s="15" t="s">
        <v>13</v>
      </c>
      <c r="H15" s="14">
        <v>0</v>
      </c>
      <c r="I15" s="10"/>
      <c r="J15" s="12" t="s">
        <v>14</v>
      </c>
      <c r="K15" s="15" t="s">
        <v>13</v>
      </c>
      <c r="L15" s="14">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row>
    <row r="16" spans="1:53" s="20" customFormat="1" ht="5.0999999999999996" customHeight="1">
      <c r="A16" s="17"/>
      <c r="B16" s="18"/>
      <c r="C16" s="18"/>
      <c r="D16" s="18"/>
      <c r="E16" s="19"/>
      <c r="F16" s="18"/>
      <c r="G16" s="18"/>
      <c r="H16" s="18"/>
      <c r="I16" s="19"/>
      <c r="J16" s="18"/>
      <c r="K16" s="18"/>
      <c r="L16" s="18"/>
      <c r="M16" s="19"/>
      <c r="N16" s="18"/>
      <c r="O16" s="18"/>
      <c r="P16" s="18"/>
      <c r="Q16" s="19"/>
      <c r="R16" s="18"/>
      <c r="S16" s="18"/>
      <c r="T16" s="18"/>
      <c r="U16" s="19"/>
      <c r="V16" s="18"/>
      <c r="W16" s="18"/>
      <c r="X16" s="18"/>
      <c r="Y16" s="19"/>
      <c r="Z16" s="18"/>
      <c r="AA16" s="18"/>
      <c r="AB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row>
    <row r="17" spans="1:53" ht="15" customHeight="1">
      <c r="A17" s="11"/>
      <c r="B17" s="12" t="s">
        <v>7</v>
      </c>
      <c r="C17" s="44">
        <v>85000</v>
      </c>
      <c r="D17" s="14"/>
      <c r="E17" s="10"/>
      <c r="F17" s="12" t="s">
        <v>7</v>
      </c>
      <c r="G17" s="13">
        <v>0</v>
      </c>
      <c r="H17" s="14"/>
      <c r="I17" s="10"/>
      <c r="J17" s="12" t="s">
        <v>7</v>
      </c>
      <c r="K17" s="13">
        <v>0</v>
      </c>
      <c r="L17" s="14"/>
      <c r="M17" s="10"/>
      <c r="N17" s="12" t="s">
        <v>7</v>
      </c>
      <c r="O17" s="13">
        <v>0</v>
      </c>
      <c r="P17" s="14"/>
      <c r="Q17" s="10"/>
      <c r="R17" s="12" t="s">
        <v>7</v>
      </c>
      <c r="S17" s="13">
        <v>0</v>
      </c>
      <c r="T17" s="14"/>
      <c r="U17" s="10"/>
      <c r="V17" s="12" t="s">
        <v>7</v>
      </c>
      <c r="W17" s="13">
        <v>0</v>
      </c>
      <c r="X17" s="14"/>
      <c r="Y17" s="10"/>
      <c r="Z17" s="12" t="s">
        <v>7</v>
      </c>
      <c r="AA17" s="13">
        <v>0</v>
      </c>
      <c r="AB17" s="14"/>
      <c r="AC17" s="10"/>
      <c r="AD17" s="12" t="s">
        <v>7</v>
      </c>
      <c r="AE17" s="13">
        <v>0</v>
      </c>
      <c r="AF17" s="14"/>
      <c r="AG17" s="10"/>
      <c r="AH17" s="12" t="s">
        <v>7</v>
      </c>
      <c r="AI17" s="13">
        <v>0</v>
      </c>
      <c r="AJ17" s="14"/>
      <c r="AK17" s="10"/>
      <c r="AL17" s="12" t="s">
        <v>7</v>
      </c>
      <c r="AM17" s="13">
        <v>0</v>
      </c>
      <c r="AN17" s="14"/>
      <c r="AO17" s="10"/>
      <c r="AP17" s="12" t="s">
        <v>7</v>
      </c>
      <c r="AQ17" s="13">
        <v>0</v>
      </c>
      <c r="AR17" s="14"/>
      <c r="AS17" s="10"/>
      <c r="AT17" s="12" t="s">
        <v>7</v>
      </c>
      <c r="AU17" s="13">
        <v>0</v>
      </c>
      <c r="AV17" s="14"/>
      <c r="AW17" s="10"/>
      <c r="AX17" s="12" t="s">
        <v>7</v>
      </c>
      <c r="AY17" s="13">
        <v>0</v>
      </c>
      <c r="AZ17" s="14"/>
      <c r="BA17"/>
    </row>
    <row r="18" spans="1:53" ht="15" customHeight="1">
      <c r="A18" s="11"/>
      <c r="B18" s="12" t="s">
        <v>6</v>
      </c>
      <c r="C18" s="15">
        <v>0</v>
      </c>
      <c r="D18" s="14"/>
      <c r="E18" s="10"/>
      <c r="F18" s="12" t="s">
        <v>6</v>
      </c>
      <c r="G18" s="15">
        <v>0</v>
      </c>
      <c r="H18" s="14"/>
      <c r="I18" s="10"/>
      <c r="J18" s="12" t="s">
        <v>6</v>
      </c>
      <c r="K18" s="15">
        <v>0</v>
      </c>
      <c r="L18" s="14"/>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15">
        <v>0</v>
      </c>
      <c r="AJ18" s="14"/>
      <c r="AK18" s="10"/>
      <c r="AL18" s="12" t="s">
        <v>6</v>
      </c>
      <c r="AM18" s="15">
        <v>0</v>
      </c>
      <c r="AN18" s="14"/>
      <c r="AO18" s="10"/>
      <c r="AP18" s="12" t="s">
        <v>6</v>
      </c>
      <c r="AQ18" s="15">
        <v>0</v>
      </c>
      <c r="AR18" s="14"/>
      <c r="AS18" s="10"/>
      <c r="AT18" s="12" t="s">
        <v>6</v>
      </c>
      <c r="AU18" s="15">
        <v>0</v>
      </c>
      <c r="AV18" s="14"/>
      <c r="AW18" s="10"/>
      <c r="AX18" s="12" t="s">
        <v>6</v>
      </c>
      <c r="AY18" s="15">
        <v>0</v>
      </c>
      <c r="AZ18" s="14"/>
      <c r="BA18"/>
    </row>
    <row r="19" spans="1:53" ht="15" customHeight="1">
      <c r="A19" s="11"/>
      <c r="B19" s="12" t="s">
        <v>5</v>
      </c>
      <c r="C19" s="44" t="s">
        <v>51</v>
      </c>
      <c r="D19" s="14"/>
      <c r="E19" s="10"/>
      <c r="F19" s="12" t="s">
        <v>5</v>
      </c>
      <c r="G19" s="13" t="s">
        <v>4</v>
      </c>
      <c r="H19" s="14"/>
      <c r="I19" s="10"/>
      <c r="J19" s="12" t="s">
        <v>5</v>
      </c>
      <c r="K19" s="13" t="s">
        <v>4</v>
      </c>
      <c r="L19" s="14"/>
      <c r="M19" s="10"/>
      <c r="N19" s="12" t="s">
        <v>5</v>
      </c>
      <c r="O19" s="13" t="s">
        <v>4</v>
      </c>
      <c r="P19" s="14"/>
      <c r="Q19" s="10"/>
      <c r="R19" s="12" t="s">
        <v>5</v>
      </c>
      <c r="S19" s="13" t="s">
        <v>4</v>
      </c>
      <c r="T19" s="14"/>
      <c r="U19" s="10"/>
      <c r="V19" s="12" t="s">
        <v>5</v>
      </c>
      <c r="W19" s="13" t="s">
        <v>4</v>
      </c>
      <c r="X19" s="14"/>
      <c r="Y19" s="10"/>
      <c r="Z19" s="12" t="s">
        <v>5</v>
      </c>
      <c r="AA19" s="13" t="s">
        <v>4</v>
      </c>
      <c r="AB19" s="14"/>
      <c r="AC19" s="10"/>
      <c r="AD19" s="12" t="s">
        <v>5</v>
      </c>
      <c r="AE19" s="13" t="s">
        <v>4</v>
      </c>
      <c r="AF19" s="14"/>
      <c r="AG19" s="10"/>
      <c r="AH19" s="12" t="s">
        <v>5</v>
      </c>
      <c r="AI19" s="13" t="s">
        <v>4</v>
      </c>
      <c r="AJ19" s="14"/>
      <c r="AK19" s="10"/>
      <c r="AL19" s="12" t="s">
        <v>5</v>
      </c>
      <c r="AM19" s="13" t="s">
        <v>4</v>
      </c>
      <c r="AN19" s="14"/>
      <c r="AO19" s="10"/>
      <c r="AP19" s="12" t="s">
        <v>5</v>
      </c>
      <c r="AQ19" s="13" t="s">
        <v>4</v>
      </c>
      <c r="AR19" s="14"/>
      <c r="AS19" s="10"/>
      <c r="AT19" s="12" t="s">
        <v>5</v>
      </c>
      <c r="AU19" s="13" t="s">
        <v>4</v>
      </c>
      <c r="AV19" s="14"/>
      <c r="AW19" s="10"/>
      <c r="AX19" s="12" t="s">
        <v>5</v>
      </c>
      <c r="AY19" s="13" t="s">
        <v>4</v>
      </c>
      <c r="AZ19" s="14"/>
      <c r="BA19"/>
    </row>
    <row r="20" spans="1:53" ht="15" customHeight="1">
      <c r="A20" s="11"/>
      <c r="B20" s="12" t="s">
        <v>11</v>
      </c>
      <c r="C20" s="44" t="s">
        <v>131</v>
      </c>
      <c r="D20" s="43">
        <v>15000</v>
      </c>
      <c r="E20" s="9"/>
      <c r="F20" s="12" t="s">
        <v>11</v>
      </c>
      <c r="G20" s="15" t="s">
        <v>13</v>
      </c>
      <c r="H20" s="14">
        <v>0</v>
      </c>
      <c r="I20" s="10"/>
      <c r="J20" s="12" t="s">
        <v>11</v>
      </c>
      <c r="K20" s="15" t="s">
        <v>13</v>
      </c>
      <c r="L20" s="14">
        <v>0</v>
      </c>
      <c r="M20" s="10"/>
      <c r="N20" s="12" t="s">
        <v>11</v>
      </c>
      <c r="O20" s="15" t="s">
        <v>13</v>
      </c>
      <c r="P20" s="14">
        <v>0</v>
      </c>
      <c r="Q20" s="10"/>
      <c r="R20" s="12" t="s">
        <v>11</v>
      </c>
      <c r="S20" s="15" t="s">
        <v>13</v>
      </c>
      <c r="T20" s="14">
        <v>0</v>
      </c>
      <c r="U20" s="10"/>
      <c r="V20" s="12" t="s">
        <v>11</v>
      </c>
      <c r="W20" s="15" t="s">
        <v>13</v>
      </c>
      <c r="X20" s="14">
        <v>0</v>
      </c>
      <c r="Y20" s="10"/>
      <c r="Z20" s="12" t="s">
        <v>11</v>
      </c>
      <c r="AA20" s="15" t="s">
        <v>13</v>
      </c>
      <c r="AB20" s="14">
        <v>0</v>
      </c>
      <c r="AC20" s="10"/>
      <c r="AD20" s="12" t="s">
        <v>11</v>
      </c>
      <c r="AE20" s="15" t="s">
        <v>13</v>
      </c>
      <c r="AF20" s="14">
        <v>0</v>
      </c>
      <c r="AG20" s="10"/>
      <c r="AH20" s="12" t="s">
        <v>11</v>
      </c>
      <c r="AI20" s="15" t="s">
        <v>13</v>
      </c>
      <c r="AJ20" s="14">
        <v>0</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row>
    <row r="21" spans="1:53" ht="15" customHeight="1">
      <c r="A21" s="11"/>
      <c r="B21" s="12" t="s">
        <v>12</v>
      </c>
      <c r="C21" s="15" t="s">
        <v>13</v>
      </c>
      <c r="D21" s="16">
        <v>0</v>
      </c>
      <c r="E21" s="9"/>
      <c r="F21" s="12" t="s">
        <v>12</v>
      </c>
      <c r="G21" s="15" t="s">
        <v>13</v>
      </c>
      <c r="H21" s="14">
        <v>0</v>
      </c>
      <c r="I21" s="10"/>
      <c r="J21" s="12" t="s">
        <v>12</v>
      </c>
      <c r="K21" s="15" t="s">
        <v>13</v>
      </c>
      <c r="L21" s="14">
        <v>0</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15" t="s">
        <v>13</v>
      </c>
      <c r="AJ21" s="14">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row>
    <row r="22" spans="1:53" ht="15" customHeight="1">
      <c r="A22" s="11"/>
      <c r="B22" s="12" t="s">
        <v>14</v>
      </c>
      <c r="C22" s="15" t="s">
        <v>13</v>
      </c>
      <c r="D22" s="14">
        <v>0</v>
      </c>
      <c r="E22" s="9"/>
      <c r="F22" s="12" t="s">
        <v>14</v>
      </c>
      <c r="G22" s="15" t="s">
        <v>13</v>
      </c>
      <c r="H22" s="14">
        <v>0</v>
      </c>
      <c r="I22" s="10"/>
      <c r="J22" s="12" t="s">
        <v>14</v>
      </c>
      <c r="K22" s="15" t="s">
        <v>13</v>
      </c>
      <c r="L22" s="14">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15" t="s">
        <v>13</v>
      </c>
      <c r="AJ22" s="14">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row>
    <row r="23" spans="1:53" s="20" customFormat="1" ht="5.0999999999999996" customHeight="1">
      <c r="A23" s="17"/>
      <c r="B23" s="18"/>
      <c r="C23" s="18"/>
      <c r="D23" s="18"/>
      <c r="E23" s="19"/>
      <c r="F23" s="18"/>
      <c r="G23" s="18"/>
      <c r="H23" s="18"/>
      <c r="I23" s="19"/>
      <c r="J23" s="18"/>
      <c r="K23" s="18"/>
      <c r="L23" s="18"/>
      <c r="M23" s="19"/>
      <c r="N23" s="18"/>
      <c r="O23" s="18"/>
      <c r="P23" s="18"/>
      <c r="Q23" s="19"/>
      <c r="R23" s="18"/>
      <c r="S23" s="18"/>
      <c r="T23" s="18"/>
      <c r="U23" s="19"/>
      <c r="V23" s="18"/>
      <c r="W23" s="18"/>
      <c r="X23" s="18"/>
      <c r="Y23" s="19"/>
      <c r="Z23" s="18"/>
      <c r="AA23" s="18"/>
      <c r="AB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row>
    <row r="24" spans="1:53" ht="15" customHeight="1">
      <c r="A24" s="11"/>
      <c r="B24" s="12" t="s">
        <v>7</v>
      </c>
      <c r="C24" s="13">
        <v>0</v>
      </c>
      <c r="D24" s="14"/>
      <c r="E24" s="10"/>
      <c r="F24" s="12" t="s">
        <v>7</v>
      </c>
      <c r="G24" s="13">
        <v>0</v>
      </c>
      <c r="H24" s="14"/>
      <c r="I24" s="10"/>
      <c r="J24" s="12" t="s">
        <v>7</v>
      </c>
      <c r="K24" s="13">
        <v>0</v>
      </c>
      <c r="L24" s="14"/>
      <c r="M24" s="10"/>
      <c r="N24" s="12" t="s">
        <v>7</v>
      </c>
      <c r="O24" s="13">
        <v>0</v>
      </c>
      <c r="P24" s="14"/>
      <c r="Q24" s="10"/>
      <c r="R24" s="12" t="s">
        <v>7</v>
      </c>
      <c r="S24" s="13">
        <v>0</v>
      </c>
      <c r="T24" s="14"/>
      <c r="U24" s="10"/>
      <c r="V24" s="12" t="s">
        <v>7</v>
      </c>
      <c r="W24" s="13">
        <v>0</v>
      </c>
      <c r="X24" s="14"/>
      <c r="Y24" s="10"/>
      <c r="Z24" s="12" t="s">
        <v>7</v>
      </c>
      <c r="AA24" s="13">
        <v>0</v>
      </c>
      <c r="AB24" s="14"/>
      <c r="AC24" s="10"/>
      <c r="AD24" s="12" t="s">
        <v>7</v>
      </c>
      <c r="AE24" s="13">
        <v>0</v>
      </c>
      <c r="AF24" s="14"/>
      <c r="AG24" s="10"/>
      <c r="AH24" s="12" t="s">
        <v>7</v>
      </c>
      <c r="AI24" s="13">
        <v>0</v>
      </c>
      <c r="AJ24" s="14"/>
      <c r="AK24" s="10"/>
      <c r="AL24" s="12" t="s">
        <v>7</v>
      </c>
      <c r="AM24" s="13">
        <v>0</v>
      </c>
      <c r="AN24" s="14"/>
      <c r="AO24" s="10"/>
      <c r="AP24" s="12" t="s">
        <v>7</v>
      </c>
      <c r="AQ24" s="13">
        <v>0</v>
      </c>
      <c r="AR24" s="14"/>
      <c r="AS24" s="10"/>
      <c r="AT24" s="12" t="s">
        <v>7</v>
      </c>
      <c r="AU24" s="13">
        <v>0</v>
      </c>
      <c r="AV24" s="14"/>
      <c r="AW24" s="10"/>
      <c r="AX24" s="12" t="s">
        <v>7</v>
      </c>
      <c r="AY24" s="13">
        <v>0</v>
      </c>
      <c r="AZ24" s="14"/>
      <c r="BA24"/>
    </row>
    <row r="25" spans="1:53" ht="15" customHeight="1">
      <c r="A25" s="11"/>
      <c r="B25" s="12" t="s">
        <v>6</v>
      </c>
      <c r="C25" s="15">
        <v>0</v>
      </c>
      <c r="D25" s="14"/>
      <c r="E25" s="10"/>
      <c r="F25" s="12" t="s">
        <v>6</v>
      </c>
      <c r="G25" s="15">
        <v>0</v>
      </c>
      <c r="H25" s="14"/>
      <c r="I25" s="10"/>
      <c r="J25" s="12" t="s">
        <v>6</v>
      </c>
      <c r="K25" s="15">
        <v>0</v>
      </c>
      <c r="L25" s="14"/>
      <c r="M25" s="10"/>
      <c r="N25" s="12" t="s">
        <v>6</v>
      </c>
      <c r="O25" s="15">
        <v>0</v>
      </c>
      <c r="P25" s="14"/>
      <c r="Q25" s="10"/>
      <c r="R25" s="12" t="s">
        <v>6</v>
      </c>
      <c r="S25" s="15">
        <v>0</v>
      </c>
      <c r="T25" s="14"/>
      <c r="U25" s="10"/>
      <c r="V25" s="12" t="s">
        <v>6</v>
      </c>
      <c r="W25" s="15">
        <v>0</v>
      </c>
      <c r="X25" s="14"/>
      <c r="Y25" s="10"/>
      <c r="Z25" s="12" t="s">
        <v>6</v>
      </c>
      <c r="AA25" s="15">
        <v>0</v>
      </c>
      <c r="AB25" s="14"/>
      <c r="AC25" s="10"/>
      <c r="AD25" s="12" t="s">
        <v>6</v>
      </c>
      <c r="AE25" s="15">
        <v>0</v>
      </c>
      <c r="AF25" s="14"/>
      <c r="AG25" s="10"/>
      <c r="AH25" s="12" t="s">
        <v>6</v>
      </c>
      <c r="AI25" s="15">
        <v>0</v>
      </c>
      <c r="AJ25" s="14"/>
      <c r="AK25" s="10"/>
      <c r="AL25" s="12" t="s">
        <v>6</v>
      </c>
      <c r="AM25" s="15">
        <v>0</v>
      </c>
      <c r="AN25" s="14"/>
      <c r="AO25" s="10"/>
      <c r="AP25" s="12" t="s">
        <v>6</v>
      </c>
      <c r="AQ25" s="15">
        <v>0</v>
      </c>
      <c r="AR25" s="14"/>
      <c r="AS25" s="10"/>
      <c r="AT25" s="12" t="s">
        <v>6</v>
      </c>
      <c r="AU25" s="15">
        <v>0</v>
      </c>
      <c r="AV25" s="14"/>
      <c r="AW25" s="10"/>
      <c r="AX25" s="12" t="s">
        <v>6</v>
      </c>
      <c r="AY25" s="15">
        <v>0</v>
      </c>
      <c r="AZ25" s="14"/>
      <c r="BA25"/>
    </row>
    <row r="26" spans="1:53" ht="15" customHeight="1">
      <c r="A26" s="11"/>
      <c r="B26" s="12" t="s">
        <v>5</v>
      </c>
      <c r="C26" s="13" t="s">
        <v>4</v>
      </c>
      <c r="D26" s="14"/>
      <c r="E26" s="10"/>
      <c r="F26" s="12" t="s">
        <v>5</v>
      </c>
      <c r="G26" s="13" t="s">
        <v>4</v>
      </c>
      <c r="H26" s="14"/>
      <c r="I26" s="10"/>
      <c r="J26" s="12" t="s">
        <v>5</v>
      </c>
      <c r="K26" s="13" t="s">
        <v>4</v>
      </c>
      <c r="L26" s="14"/>
      <c r="M26" s="10"/>
      <c r="N26" s="12" t="s">
        <v>5</v>
      </c>
      <c r="O26" s="13" t="s">
        <v>4</v>
      </c>
      <c r="P26" s="14"/>
      <c r="Q26" s="10"/>
      <c r="R26" s="12" t="s">
        <v>5</v>
      </c>
      <c r="S26" s="13" t="s">
        <v>4</v>
      </c>
      <c r="T26" s="14"/>
      <c r="U26" s="10"/>
      <c r="V26" s="12" t="s">
        <v>5</v>
      </c>
      <c r="W26" s="13" t="s">
        <v>4</v>
      </c>
      <c r="X26" s="14"/>
      <c r="Y26" s="10"/>
      <c r="Z26" s="12" t="s">
        <v>5</v>
      </c>
      <c r="AA26" s="13" t="s">
        <v>4</v>
      </c>
      <c r="AB26" s="14"/>
      <c r="AC26" s="10"/>
      <c r="AD26" s="12" t="s">
        <v>5</v>
      </c>
      <c r="AE26" s="13" t="s">
        <v>4</v>
      </c>
      <c r="AF26" s="14"/>
      <c r="AG26" s="10"/>
      <c r="AH26" s="12" t="s">
        <v>5</v>
      </c>
      <c r="AI26" s="13" t="s">
        <v>4</v>
      </c>
      <c r="AJ26" s="14"/>
      <c r="AK26" s="10"/>
      <c r="AL26" s="12" t="s">
        <v>5</v>
      </c>
      <c r="AM26" s="13" t="s">
        <v>4</v>
      </c>
      <c r="AN26" s="14"/>
      <c r="AO26" s="10"/>
      <c r="AP26" s="12" t="s">
        <v>5</v>
      </c>
      <c r="AQ26" s="13" t="s">
        <v>4</v>
      </c>
      <c r="AR26" s="14"/>
      <c r="AS26" s="10"/>
      <c r="AT26" s="12" t="s">
        <v>5</v>
      </c>
      <c r="AU26" s="13" t="s">
        <v>4</v>
      </c>
      <c r="AV26" s="14"/>
      <c r="AW26" s="10"/>
      <c r="AX26" s="12" t="s">
        <v>5</v>
      </c>
      <c r="AY26" s="13" t="s">
        <v>4</v>
      </c>
      <c r="AZ26" s="14"/>
      <c r="BA26"/>
    </row>
    <row r="27" spans="1:53" ht="15" customHeight="1">
      <c r="A27" s="11"/>
      <c r="B27" s="12" t="s">
        <v>11</v>
      </c>
      <c r="C27" s="15" t="s">
        <v>13</v>
      </c>
      <c r="D27" s="14">
        <v>0</v>
      </c>
      <c r="E27" s="9"/>
      <c r="F27" s="12" t="s">
        <v>11</v>
      </c>
      <c r="G27" s="15" t="s">
        <v>13</v>
      </c>
      <c r="H27" s="14">
        <v>0</v>
      </c>
      <c r="I27" s="10"/>
      <c r="J27" s="12" t="s">
        <v>11</v>
      </c>
      <c r="K27" s="15" t="s">
        <v>13</v>
      </c>
      <c r="L27" s="14">
        <v>0</v>
      </c>
      <c r="M27" s="10"/>
      <c r="N27" s="12" t="s">
        <v>11</v>
      </c>
      <c r="O27" s="15" t="s">
        <v>13</v>
      </c>
      <c r="P27" s="14">
        <v>0</v>
      </c>
      <c r="Q27" s="10"/>
      <c r="R27" s="12" t="s">
        <v>11</v>
      </c>
      <c r="S27" s="15" t="s">
        <v>13</v>
      </c>
      <c r="T27" s="14">
        <v>0</v>
      </c>
      <c r="U27" s="10"/>
      <c r="V27" s="12" t="s">
        <v>11</v>
      </c>
      <c r="W27" s="15" t="s">
        <v>13</v>
      </c>
      <c r="X27" s="14">
        <v>0</v>
      </c>
      <c r="Y27" s="10"/>
      <c r="Z27" s="12" t="s">
        <v>11</v>
      </c>
      <c r="AA27" s="15" t="s">
        <v>13</v>
      </c>
      <c r="AB27" s="14">
        <v>0</v>
      </c>
      <c r="AC27" s="10"/>
      <c r="AD27" s="12" t="s">
        <v>11</v>
      </c>
      <c r="AE27" s="15" t="s">
        <v>13</v>
      </c>
      <c r="AF27" s="14">
        <v>0</v>
      </c>
      <c r="AG27" s="10"/>
      <c r="AH27" s="12" t="s">
        <v>11</v>
      </c>
      <c r="AI27" s="15" t="s">
        <v>13</v>
      </c>
      <c r="AJ27" s="14">
        <v>0</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row>
    <row r="28" spans="1:53" ht="15" customHeight="1">
      <c r="A28" s="11"/>
      <c r="B28" s="12" t="s">
        <v>12</v>
      </c>
      <c r="C28" s="15" t="s">
        <v>13</v>
      </c>
      <c r="D28" s="16">
        <v>0</v>
      </c>
      <c r="E28" s="9"/>
      <c r="F28" s="12" t="s">
        <v>12</v>
      </c>
      <c r="G28" s="15" t="s">
        <v>13</v>
      </c>
      <c r="H28" s="16">
        <v>0</v>
      </c>
      <c r="I28" s="10"/>
      <c r="J28" s="12" t="s">
        <v>12</v>
      </c>
      <c r="K28" s="15" t="s">
        <v>13</v>
      </c>
      <c r="L28" s="16">
        <v>0</v>
      </c>
      <c r="M28" s="10"/>
      <c r="N28" s="12" t="s">
        <v>12</v>
      </c>
      <c r="O28" s="15" t="s">
        <v>13</v>
      </c>
      <c r="P28" s="16">
        <v>0</v>
      </c>
      <c r="Q28" s="10"/>
      <c r="R28" s="12" t="s">
        <v>12</v>
      </c>
      <c r="S28" s="15" t="s">
        <v>13</v>
      </c>
      <c r="T28" s="16">
        <v>0</v>
      </c>
      <c r="U28" s="10"/>
      <c r="V28" s="12" t="s">
        <v>12</v>
      </c>
      <c r="W28" s="15" t="s">
        <v>13</v>
      </c>
      <c r="X28" s="16">
        <v>0</v>
      </c>
      <c r="Y28" s="10"/>
      <c r="Z28" s="12" t="s">
        <v>12</v>
      </c>
      <c r="AA28" s="15" t="s">
        <v>13</v>
      </c>
      <c r="AB28" s="16">
        <v>0</v>
      </c>
      <c r="AC28" s="10"/>
      <c r="AD28" s="12" t="s">
        <v>12</v>
      </c>
      <c r="AE28" s="15" t="s">
        <v>13</v>
      </c>
      <c r="AF28" s="16">
        <v>0</v>
      </c>
      <c r="AG28" s="10"/>
      <c r="AH28" s="12" t="s">
        <v>12</v>
      </c>
      <c r="AI28" s="15" t="s">
        <v>13</v>
      </c>
      <c r="AJ28" s="16">
        <v>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row>
    <row r="29" spans="1:53" ht="15" customHeight="1">
      <c r="A29" s="11"/>
      <c r="B29" s="12" t="s">
        <v>14</v>
      </c>
      <c r="C29" s="15" t="s">
        <v>13</v>
      </c>
      <c r="D29" s="14">
        <v>0</v>
      </c>
      <c r="E29" s="9"/>
      <c r="F29" s="12" t="s">
        <v>14</v>
      </c>
      <c r="G29" s="15" t="s">
        <v>13</v>
      </c>
      <c r="H29" s="14">
        <v>0</v>
      </c>
      <c r="I29" s="10"/>
      <c r="J29" s="12" t="s">
        <v>14</v>
      </c>
      <c r="K29" s="15" t="s">
        <v>13</v>
      </c>
      <c r="L29" s="14">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15" t="s">
        <v>13</v>
      </c>
      <c r="AJ29" s="14">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row>
    <row r="31" spans="1:53" ht="15" customHeight="1">
      <c r="A31" s="11"/>
      <c r="B31" s="12" t="s">
        <v>7</v>
      </c>
      <c r="C31" s="13">
        <v>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13">
        <v>0</v>
      </c>
      <c r="AB31" s="14"/>
      <c r="AC31" s="10"/>
      <c r="AD31" s="12" t="s">
        <v>7</v>
      </c>
      <c r="AE31" s="13">
        <v>0</v>
      </c>
      <c r="AF31" s="14"/>
      <c r="AG31" s="10"/>
      <c r="AH31" s="12" t="s">
        <v>7</v>
      </c>
      <c r="AI31" s="13">
        <v>0</v>
      </c>
      <c r="AJ31" s="14"/>
      <c r="AK31" s="10"/>
      <c r="AL31" s="12" t="s">
        <v>7</v>
      </c>
      <c r="AM31" s="13">
        <v>0</v>
      </c>
      <c r="AN31" s="14"/>
      <c r="AO31" s="10"/>
      <c r="AP31" s="12" t="s">
        <v>7</v>
      </c>
      <c r="AQ31" s="13">
        <v>0</v>
      </c>
      <c r="AR31" s="14"/>
      <c r="AS31" s="10"/>
      <c r="AT31" s="12" t="s">
        <v>7</v>
      </c>
      <c r="AU31" s="13">
        <v>0</v>
      </c>
      <c r="AV31" s="14"/>
      <c r="AW31" s="10"/>
      <c r="AX31" s="12" t="s">
        <v>7</v>
      </c>
      <c r="AY31" s="13">
        <v>0</v>
      </c>
      <c r="AZ31" s="14"/>
      <c r="BA3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15">
        <v>0</v>
      </c>
      <c r="AB32" s="14"/>
      <c r="AC32" s="10"/>
      <c r="AD32" s="12" t="s">
        <v>6</v>
      </c>
      <c r="AE32" s="15">
        <v>0</v>
      </c>
      <c r="AF32" s="14"/>
      <c r="AG32" s="10"/>
      <c r="AH32" s="12" t="s">
        <v>6</v>
      </c>
      <c r="AI32" s="15">
        <v>0</v>
      </c>
      <c r="AJ32" s="14"/>
      <c r="AK32" s="10"/>
      <c r="AL32" s="12" t="s">
        <v>6</v>
      </c>
      <c r="AM32" s="15">
        <v>0</v>
      </c>
      <c r="AN32" s="14"/>
      <c r="AO32" s="10"/>
      <c r="AP32" s="12" t="s">
        <v>6</v>
      </c>
      <c r="AQ32" s="15">
        <v>0</v>
      </c>
      <c r="AR32" s="14"/>
      <c r="AS32" s="10"/>
      <c r="AT32" s="12" t="s">
        <v>6</v>
      </c>
      <c r="AU32" s="15">
        <v>0</v>
      </c>
      <c r="AV32" s="14"/>
      <c r="AW32" s="10"/>
      <c r="AX32" s="12" t="s">
        <v>6</v>
      </c>
      <c r="AY32" s="15">
        <v>0</v>
      </c>
      <c r="AZ32" s="14"/>
      <c r="BA32"/>
    </row>
    <row r="33" spans="1:53" ht="15" customHeight="1">
      <c r="A33" s="11"/>
      <c r="B33" s="12" t="s">
        <v>5</v>
      </c>
      <c r="C33" s="13" t="s">
        <v>4</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13" t="s">
        <v>4</v>
      </c>
      <c r="AB33" s="14"/>
      <c r="AC33" s="10"/>
      <c r="AD33" s="12" t="s">
        <v>5</v>
      </c>
      <c r="AE33" s="13" t="s">
        <v>4</v>
      </c>
      <c r="AF33" s="14"/>
      <c r="AG33" s="10"/>
      <c r="AH33" s="12" t="s">
        <v>5</v>
      </c>
      <c r="AI33" s="13" t="s">
        <v>4</v>
      </c>
      <c r="AJ33" s="14"/>
      <c r="AK33" s="10"/>
      <c r="AL33" s="12" t="s">
        <v>5</v>
      </c>
      <c r="AM33" s="13" t="s">
        <v>4</v>
      </c>
      <c r="AN33" s="14"/>
      <c r="AO33" s="10"/>
      <c r="AP33" s="12" t="s">
        <v>5</v>
      </c>
      <c r="AQ33" s="13" t="s">
        <v>4</v>
      </c>
      <c r="AR33" s="14"/>
      <c r="AS33" s="10"/>
      <c r="AT33" s="12" t="s">
        <v>5</v>
      </c>
      <c r="AU33" s="13" t="s">
        <v>4</v>
      </c>
      <c r="AV33" s="14"/>
      <c r="AW33" s="10"/>
      <c r="AX33" s="12" t="s">
        <v>5</v>
      </c>
      <c r="AY33" s="13" t="s">
        <v>4</v>
      </c>
      <c r="AZ33" s="14"/>
      <c r="BA33"/>
    </row>
    <row r="34" spans="1:53" ht="15" customHeight="1">
      <c r="A34" s="11"/>
      <c r="B34" s="12" t="s">
        <v>11</v>
      </c>
      <c r="C34" s="15" t="s">
        <v>218</v>
      </c>
      <c r="D34" s="14">
        <v>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15" t="s">
        <v>13</v>
      </c>
      <c r="AB34" s="14">
        <v>0</v>
      </c>
      <c r="AC34" s="10"/>
      <c r="AD34" s="12" t="s">
        <v>11</v>
      </c>
      <c r="AE34" s="15" t="s">
        <v>13</v>
      </c>
      <c r="AF34" s="14">
        <v>0</v>
      </c>
      <c r="AG34" s="10"/>
      <c r="AH34" s="12" t="s">
        <v>11</v>
      </c>
      <c r="AI34" s="15" t="s">
        <v>13</v>
      </c>
      <c r="AJ34" s="14">
        <v>0</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row>
    <row r="35" spans="1:53" ht="15" customHeight="1">
      <c r="A35" s="11"/>
      <c r="B35" s="12" t="s">
        <v>12</v>
      </c>
      <c r="C35" s="15" t="s">
        <v>218</v>
      </c>
      <c r="D35" s="16">
        <v>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6">
        <v>0</v>
      </c>
      <c r="AC35" s="10"/>
      <c r="AD35" s="12" t="s">
        <v>12</v>
      </c>
      <c r="AE35" s="15" t="s">
        <v>13</v>
      </c>
      <c r="AF35" s="16">
        <v>0</v>
      </c>
      <c r="AG35" s="10"/>
      <c r="AH35" s="12" t="s">
        <v>12</v>
      </c>
      <c r="AI35" s="15" t="s">
        <v>13</v>
      </c>
      <c r="AJ35" s="16">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row>
    <row r="36" spans="1:53" ht="15" customHeight="1">
      <c r="A36" s="11"/>
      <c r="B36" s="12" t="s">
        <v>14</v>
      </c>
      <c r="C36" s="15" t="s">
        <v>218</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row>
    <row r="38" spans="1:53" ht="15" customHeight="1">
      <c r="A38" s="11"/>
      <c r="B38" s="12" t="s">
        <v>7</v>
      </c>
      <c r="C38" s="13">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13">
        <v>0</v>
      </c>
      <c r="AB38" s="14"/>
      <c r="AC38" s="10"/>
      <c r="AD38" s="12" t="s">
        <v>7</v>
      </c>
      <c r="AE38" s="13">
        <v>0</v>
      </c>
      <c r="AF38" s="14"/>
      <c r="AG38" s="10"/>
      <c r="AH38" s="12" t="s">
        <v>7</v>
      </c>
      <c r="AI38" s="13">
        <v>0</v>
      </c>
      <c r="AJ38" s="14"/>
      <c r="AK38" s="10"/>
      <c r="AL38" s="12" t="s">
        <v>7</v>
      </c>
      <c r="AM38" s="13">
        <v>0</v>
      </c>
      <c r="AN38" s="14"/>
      <c r="AO38" s="10"/>
      <c r="AP38" s="12" t="s">
        <v>7</v>
      </c>
      <c r="AQ38" s="13">
        <v>0</v>
      </c>
      <c r="AR38" s="14"/>
      <c r="AS38" s="10"/>
      <c r="AT38" s="12" t="s">
        <v>7</v>
      </c>
      <c r="AU38" s="13">
        <v>0</v>
      </c>
      <c r="AV38" s="14"/>
      <c r="AW38" s="10"/>
      <c r="AX38" s="12" t="s">
        <v>7</v>
      </c>
      <c r="AY38" s="13">
        <v>0</v>
      </c>
      <c r="AZ38" s="14"/>
      <c r="BA38"/>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15">
        <v>0</v>
      </c>
      <c r="AB39" s="14"/>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row>
    <row r="40" spans="1:53"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13" t="s">
        <v>4</v>
      </c>
      <c r="AB40" s="14"/>
      <c r="AC40" s="10"/>
      <c r="AD40" s="12" t="s">
        <v>5</v>
      </c>
      <c r="AE40" s="13" t="s">
        <v>4</v>
      </c>
      <c r="AF40" s="14"/>
      <c r="AG40" s="10"/>
      <c r="AH40" s="12" t="s">
        <v>5</v>
      </c>
      <c r="AI40" s="13" t="s">
        <v>4</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row>
    <row r="41" spans="1:53" ht="15" customHeight="1">
      <c r="A41" s="11"/>
      <c r="B41" s="12" t="s">
        <v>11</v>
      </c>
      <c r="C41" s="15" t="s">
        <v>13</v>
      </c>
      <c r="D41" s="14">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15" t="s">
        <v>13</v>
      </c>
      <c r="AB41" s="14">
        <v>0</v>
      </c>
      <c r="AC41" s="10"/>
      <c r="AD41" s="12" t="s">
        <v>11</v>
      </c>
      <c r="AE41" s="15" t="s">
        <v>13</v>
      </c>
      <c r="AF41" s="14">
        <v>0</v>
      </c>
      <c r="AG41" s="10"/>
      <c r="AH41" s="12" t="s">
        <v>11</v>
      </c>
      <c r="AI41" s="15" t="s">
        <v>13</v>
      </c>
      <c r="AJ41" s="14">
        <v>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row>
    <row r="42" spans="1:53" ht="15" customHeight="1">
      <c r="A42" s="11"/>
      <c r="B42" s="12" t="s">
        <v>12</v>
      </c>
      <c r="C42" s="15" t="s">
        <v>13</v>
      </c>
      <c r="D42" s="16">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6">
        <v>0</v>
      </c>
      <c r="AC42" s="10"/>
      <c r="AD42" s="12" t="s">
        <v>12</v>
      </c>
      <c r="AE42" s="15" t="s">
        <v>13</v>
      </c>
      <c r="AF42" s="16">
        <v>0</v>
      </c>
      <c r="AG42" s="10"/>
      <c r="AH42" s="12" t="s">
        <v>12</v>
      </c>
      <c r="AI42" s="15" t="s">
        <v>13</v>
      </c>
      <c r="AJ42" s="16">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row>
    <row r="43" spans="1:53" ht="15" customHeight="1">
      <c r="A43" s="11"/>
      <c r="B43" s="12" t="s">
        <v>14</v>
      </c>
      <c r="C43" s="15" t="s">
        <v>13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13">
        <v>0</v>
      </c>
      <c r="AJ45" s="14"/>
      <c r="AK45" s="10"/>
      <c r="AL45" s="12" t="s">
        <v>7</v>
      </c>
      <c r="AM45" s="13">
        <v>0</v>
      </c>
      <c r="AN45" s="14"/>
      <c r="AO45" s="10"/>
      <c r="AP45" s="12" t="s">
        <v>7</v>
      </c>
      <c r="AQ45" s="13">
        <v>0</v>
      </c>
      <c r="AR45" s="14"/>
      <c r="AS45" s="10"/>
      <c r="AT45" s="12" t="s">
        <v>7</v>
      </c>
      <c r="AU45" s="13">
        <v>0</v>
      </c>
      <c r="AV45" s="14"/>
      <c r="AW45" s="10"/>
      <c r="AX45" s="12" t="s">
        <v>7</v>
      </c>
      <c r="AY45" s="13">
        <v>0</v>
      </c>
      <c r="AZ45" s="14"/>
      <c r="BA45"/>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13" t="s">
        <v>4</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15" t="s">
        <v>13</v>
      </c>
      <c r="AJ48" s="14">
        <v>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6">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13">
        <v>0</v>
      </c>
      <c r="AJ52" s="14"/>
      <c r="AK52" s="10"/>
      <c r="AL52" s="12" t="s">
        <v>7</v>
      </c>
      <c r="AM52" s="13">
        <v>0</v>
      </c>
      <c r="AN52" s="14"/>
      <c r="AO52" s="10"/>
      <c r="AP52" s="12" t="s">
        <v>7</v>
      </c>
      <c r="AQ52" s="13">
        <v>0</v>
      </c>
      <c r="AR52" s="14"/>
      <c r="AS52" s="10"/>
      <c r="AT52" s="12" t="s">
        <v>7</v>
      </c>
      <c r="AU52" s="13">
        <v>0</v>
      </c>
      <c r="AV52" s="14"/>
      <c r="AW52" s="10"/>
      <c r="AX52" s="12" t="s">
        <v>7</v>
      </c>
      <c r="AY52" s="13">
        <v>0</v>
      </c>
      <c r="AZ52" s="14"/>
      <c r="BA52"/>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13" t="s">
        <v>4</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15" t="s">
        <v>13</v>
      </c>
      <c r="AJ55" s="14">
        <v>0</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row>
    <row r="65" spans="1:53"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row>
    <row r="66" spans="1:53"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row>
    <row r="67" spans="1:53"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row>
    <row r="68" spans="1:53"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row>
    <row r="69" spans="1:53"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row>
    <row r="70" spans="1:53"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row>
    <row r="71" spans="1:53"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row>
    <row r="72" spans="1:53"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row>
    <row r="73" spans="1:53" ht="15" customHeight="1">
      <c r="A73" s="11"/>
      <c r="B73" s="22" t="s">
        <v>8</v>
      </c>
      <c r="C73" s="23">
        <v>200</v>
      </c>
      <c r="D73" s="24"/>
      <c r="E73" s="25"/>
      <c r="F73" s="22" t="s">
        <v>8</v>
      </c>
      <c r="G73" s="23">
        <v>1000</v>
      </c>
      <c r="H73" s="24"/>
      <c r="I73" s="25"/>
      <c r="J73" s="22" t="s">
        <v>8</v>
      </c>
      <c r="K73" s="23">
        <v>1000</v>
      </c>
      <c r="L73" s="24"/>
      <c r="M73" s="25"/>
      <c r="N73" s="22" t="s">
        <v>8</v>
      </c>
      <c r="O73" s="23">
        <v>1000</v>
      </c>
      <c r="P73" s="24"/>
      <c r="Q73" s="25"/>
      <c r="R73" s="22" t="s">
        <v>8</v>
      </c>
      <c r="S73" s="23">
        <v>0</v>
      </c>
      <c r="T73" s="24"/>
      <c r="U73" s="25"/>
      <c r="V73" s="22" t="s">
        <v>8</v>
      </c>
      <c r="W73" s="23">
        <v>1000</v>
      </c>
      <c r="X73" s="24"/>
      <c r="Y73" s="25"/>
      <c r="Z73" s="22" t="s">
        <v>8</v>
      </c>
      <c r="AA73" s="23">
        <v>1000</v>
      </c>
      <c r="AB73" s="24"/>
      <c r="AC73" s="25"/>
      <c r="AD73" s="22" t="s">
        <v>8</v>
      </c>
      <c r="AE73" s="23">
        <v>1000</v>
      </c>
      <c r="AF73" s="24"/>
      <c r="AG73" s="25"/>
      <c r="AH73" s="22" t="s">
        <v>8</v>
      </c>
      <c r="AI73" s="23">
        <v>1000</v>
      </c>
      <c r="AJ73" s="24"/>
      <c r="AK73" s="25"/>
      <c r="AL73" s="22" t="s">
        <v>8</v>
      </c>
      <c r="AM73" s="23">
        <v>0</v>
      </c>
      <c r="AN73" s="24"/>
      <c r="AO73" s="25"/>
      <c r="AP73" s="22" t="s">
        <v>8</v>
      </c>
      <c r="AQ73" s="23">
        <v>0</v>
      </c>
      <c r="AR73" s="24"/>
      <c r="AS73" s="25"/>
      <c r="AT73" s="22" t="s">
        <v>8</v>
      </c>
      <c r="AU73" s="23">
        <v>0</v>
      </c>
      <c r="AV73" s="24"/>
      <c r="AW73" s="25"/>
      <c r="AX73" s="22" t="s">
        <v>8</v>
      </c>
      <c r="AY73" s="23">
        <v>0</v>
      </c>
      <c r="AZ73" s="24"/>
      <c r="BA73"/>
    </row>
    <row r="74" spans="1:53"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1</v>
      </c>
      <c r="X74" s="28"/>
      <c r="Y74" s="25"/>
      <c r="Z74" s="26" t="s">
        <v>10</v>
      </c>
      <c r="AA74" s="27">
        <v>4</v>
      </c>
      <c r="AB74" s="28"/>
      <c r="AC74" s="25"/>
      <c r="AD74" s="26" t="s">
        <v>10</v>
      </c>
      <c r="AE74" s="27">
        <v>1</v>
      </c>
      <c r="AF74" s="28"/>
      <c r="AG74" s="25"/>
      <c r="AH74" s="26" t="s">
        <v>10</v>
      </c>
      <c r="AI74" s="27">
        <v>1</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row>
    <row r="75" spans="1:53" s="32" customFormat="1" ht="15.7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21</v>
      </c>
      <c r="AN75" s="28"/>
      <c r="AO75" s="31"/>
      <c r="AP75" s="26" t="s">
        <v>18</v>
      </c>
      <c r="AQ75" s="27" t="s">
        <v>21</v>
      </c>
      <c r="AR75" s="28"/>
      <c r="AS75" s="31"/>
      <c r="AT75" s="26" t="s">
        <v>18</v>
      </c>
      <c r="AU75" s="27" t="s">
        <v>21</v>
      </c>
      <c r="AV75" s="28"/>
      <c r="AW75" s="31"/>
      <c r="AX75" s="26" t="s">
        <v>18</v>
      </c>
      <c r="AY75" s="27" t="s">
        <v>21</v>
      </c>
      <c r="AZ75" s="28"/>
      <c r="BA75"/>
    </row>
    <row r="76" spans="1:53" s="7" customFormat="1" ht="15.7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row>
    <row r="77" spans="1:53" s="7" customFormat="1" ht="15.75">
      <c r="A77"/>
      <c r="B77" s="35" t="s">
        <v>119</v>
      </c>
      <c r="C77" s="36" t="s">
        <v>68</v>
      </c>
      <c r="D77" s="4" t="s">
        <v>36</v>
      </c>
      <c r="E77"/>
      <c r="F77" s="35" t="s">
        <v>119</v>
      </c>
      <c r="G77" s="36" t="s">
        <v>132</v>
      </c>
      <c r="H77" s="4" t="s">
        <v>36</v>
      </c>
      <c r="J77" s="35" t="s">
        <v>5</v>
      </c>
      <c r="K77" s="36" t="s">
        <v>33</v>
      </c>
      <c r="L77" s="4" t="s">
        <v>37</v>
      </c>
      <c r="M77"/>
      <c r="N77" s="35" t="s">
        <v>5</v>
      </c>
      <c r="O77" s="36" t="s">
        <v>19</v>
      </c>
      <c r="P77" s="4" t="s">
        <v>37</v>
      </c>
      <c r="Q77"/>
      <c r="R77" s="35" t="s">
        <v>5</v>
      </c>
      <c r="S77" s="36" t="s">
        <v>51</v>
      </c>
      <c r="T77" s="4" t="s">
        <v>36</v>
      </c>
      <c r="U77"/>
      <c r="V77" s="35" t="s">
        <v>5</v>
      </c>
      <c r="W77" s="36" t="s">
        <v>52</v>
      </c>
      <c r="X77" s="4" t="s">
        <v>37</v>
      </c>
      <c r="Y77"/>
      <c r="Z77" s="35" t="s">
        <v>5</v>
      </c>
      <c r="AA77" s="36" t="s">
        <v>53</v>
      </c>
      <c r="AB77" s="4" t="s">
        <v>37</v>
      </c>
      <c r="AC77"/>
      <c r="AD77" s="35" t="s">
        <v>5</v>
      </c>
      <c r="AE77" s="36" t="s">
        <v>143</v>
      </c>
      <c r="AF77" s="4" t="s">
        <v>37</v>
      </c>
      <c r="AG77"/>
      <c r="AH77" s="35" t="s">
        <v>5</v>
      </c>
      <c r="AI77" s="36" t="s">
        <v>144</v>
      </c>
      <c r="AJ77" s="4" t="s">
        <v>36</v>
      </c>
      <c r="AK77"/>
      <c r="AL77" s="35" t="s">
        <v>5</v>
      </c>
      <c r="AM77" s="36" t="s">
        <v>145</v>
      </c>
      <c r="AN77" s="4" t="s">
        <v>37</v>
      </c>
      <c r="AO77"/>
      <c r="AP77" s="35" t="s">
        <v>5</v>
      </c>
      <c r="AQ77" s="36" t="s">
        <v>145</v>
      </c>
      <c r="AR77" s="4" t="s">
        <v>37</v>
      </c>
      <c r="AS77"/>
      <c r="AT77" s="35" t="s">
        <v>5</v>
      </c>
      <c r="AU77" s="36" t="s">
        <v>145</v>
      </c>
      <c r="AV77" s="4" t="s">
        <v>37</v>
      </c>
      <c r="AW77"/>
      <c r="AX77" s="35" t="s">
        <v>5</v>
      </c>
      <c r="AY77" s="47" t="s">
        <v>193</v>
      </c>
      <c r="AZ77" s="48" t="s">
        <v>36</v>
      </c>
      <c r="BA77"/>
    </row>
    <row r="78" spans="1:53" s="7" customFormat="1" ht="15.75">
      <c r="A78"/>
      <c r="B78" s="35" t="s">
        <v>38</v>
      </c>
      <c r="C78" s="36" t="s">
        <v>126</v>
      </c>
      <c r="D78" s="38" t="s">
        <v>120</v>
      </c>
      <c r="E78"/>
      <c r="F78" s="35" t="s">
        <v>38</v>
      </c>
      <c r="G78" s="36" t="s">
        <v>126</v>
      </c>
      <c r="H78" s="38" t="s">
        <v>120</v>
      </c>
      <c r="J78" s="35" t="s">
        <v>38</v>
      </c>
      <c r="K78" s="36" t="s">
        <v>42</v>
      </c>
      <c r="L78" s="36">
        <v>0</v>
      </c>
      <c r="M78"/>
      <c r="N78" s="35" t="s">
        <v>38</v>
      </c>
      <c r="O78" s="36" t="s">
        <v>43</v>
      </c>
      <c r="P78" s="38">
        <v>15</v>
      </c>
      <c r="Q78"/>
      <c r="R78" s="35" t="s">
        <v>38</v>
      </c>
      <c r="S78" s="36" t="s">
        <v>62</v>
      </c>
      <c r="T78" s="38" t="s">
        <v>63</v>
      </c>
      <c r="U78"/>
      <c r="V78" s="35" t="s">
        <v>38</v>
      </c>
      <c r="W78" s="36" t="s">
        <v>62</v>
      </c>
      <c r="X78" s="38" t="s">
        <v>64</v>
      </c>
      <c r="Y78"/>
      <c r="Z78" s="35" t="s">
        <v>38</v>
      </c>
      <c r="AA78" s="36" t="s">
        <v>62</v>
      </c>
      <c r="AB78" s="38" t="s">
        <v>65</v>
      </c>
      <c r="AC78"/>
      <c r="AD78" s="35" t="s">
        <v>38</v>
      </c>
      <c r="AE78" s="36" t="s">
        <v>43</v>
      </c>
      <c r="AF78" s="38" t="s">
        <v>146</v>
      </c>
      <c r="AG78"/>
      <c r="AH78" s="35" t="s">
        <v>38</v>
      </c>
      <c r="AI78" s="36" t="s">
        <v>42</v>
      </c>
      <c r="AJ78" s="36">
        <v>0</v>
      </c>
      <c r="AK78"/>
      <c r="AL78" s="35" t="s">
        <v>38</v>
      </c>
      <c r="AM78" s="36" t="s">
        <v>147</v>
      </c>
      <c r="AN78" s="36">
        <v>1</v>
      </c>
      <c r="AO78"/>
      <c r="AP78" s="35" t="s">
        <v>38</v>
      </c>
      <c r="AQ78" s="36" t="s">
        <v>147</v>
      </c>
      <c r="AR78" s="36">
        <v>2</v>
      </c>
      <c r="AS78"/>
      <c r="AT78" s="35" t="s">
        <v>38</v>
      </c>
      <c r="AU78" s="36" t="s">
        <v>147</v>
      </c>
      <c r="AV78" s="36">
        <v>3</v>
      </c>
      <c r="AW78"/>
      <c r="AX78" s="35" t="s">
        <v>38</v>
      </c>
      <c r="AY78" s="47" t="s">
        <v>194</v>
      </c>
      <c r="AZ78" s="49" t="s">
        <v>63</v>
      </c>
      <c r="BA78"/>
    </row>
    <row r="79" spans="1:53" s="7" customFormat="1" ht="15.75">
      <c r="A79"/>
      <c r="B79" s="35" t="s">
        <v>38</v>
      </c>
      <c r="C79" s="36" t="s">
        <v>125</v>
      </c>
      <c r="D79" s="38" t="s">
        <v>134</v>
      </c>
      <c r="E79"/>
      <c r="F79" s="35" t="s">
        <v>38</v>
      </c>
      <c r="G79" s="36" t="s">
        <v>125</v>
      </c>
      <c r="H79" s="38" t="s">
        <v>134</v>
      </c>
      <c r="J79" s="35" t="s">
        <v>38</v>
      </c>
      <c r="K79" s="36" t="s">
        <v>39</v>
      </c>
      <c r="L79" s="36">
        <v>-1</v>
      </c>
      <c r="M79"/>
      <c r="N79" s="35" t="s">
        <v>38</v>
      </c>
      <c r="O79" s="36" t="s">
        <v>44</v>
      </c>
      <c r="P79" s="38" t="s">
        <v>45</v>
      </c>
      <c r="Q79"/>
      <c r="R79" s="35" t="s">
        <v>38</v>
      </c>
      <c r="S79" s="36" t="s">
        <v>54</v>
      </c>
      <c r="T79" s="49" t="s">
        <v>235</v>
      </c>
      <c r="U79"/>
      <c r="V79" s="35" t="s">
        <v>38</v>
      </c>
      <c r="W79" s="36" t="s">
        <v>54</v>
      </c>
      <c r="X79" s="38" t="s">
        <v>115</v>
      </c>
      <c r="Y79"/>
      <c r="Z79" s="35" t="s">
        <v>38</v>
      </c>
      <c r="AA79" s="36" t="s">
        <v>54</v>
      </c>
      <c r="AB79" s="38" t="s">
        <v>118</v>
      </c>
      <c r="AC79"/>
      <c r="AD79" s="35" t="s">
        <v>38</v>
      </c>
      <c r="AE79" s="36" t="s">
        <v>148</v>
      </c>
      <c r="AF79" s="38" t="s">
        <v>64</v>
      </c>
      <c r="AG79"/>
      <c r="AH79" s="35" t="s">
        <v>38</v>
      </c>
      <c r="AI79" s="36" t="s">
        <v>149</v>
      </c>
      <c r="AJ79" s="36">
        <v>400</v>
      </c>
      <c r="AK79"/>
      <c r="AL79" s="35" t="s">
        <v>38</v>
      </c>
      <c r="AM79" s="36" t="s">
        <v>150</v>
      </c>
      <c r="AN79" s="36">
        <v>1200</v>
      </c>
      <c r="AO79"/>
      <c r="AP79" s="35" t="s">
        <v>38</v>
      </c>
      <c r="AQ79" s="36" t="s">
        <v>150</v>
      </c>
      <c r="AR79" s="36">
        <v>600</v>
      </c>
      <c r="AS79"/>
      <c r="AT79" s="35" t="s">
        <v>38</v>
      </c>
      <c r="AU79" s="36" t="s">
        <v>150</v>
      </c>
      <c r="AV79" s="36">
        <v>300</v>
      </c>
      <c r="AW79"/>
      <c r="AX79" s="35" t="s">
        <v>38</v>
      </c>
      <c r="AY79" s="47" t="s">
        <v>195</v>
      </c>
      <c r="AZ79" s="49" t="s">
        <v>196</v>
      </c>
      <c r="BA79"/>
    </row>
    <row r="80" spans="1:53" s="7" customFormat="1" ht="15.75">
      <c r="A80"/>
      <c r="B80" s="35" t="s">
        <v>38</v>
      </c>
      <c r="C80" s="36" t="s">
        <v>126</v>
      </c>
      <c r="D80" s="38" t="s">
        <v>121</v>
      </c>
      <c r="E80"/>
      <c r="F80" s="35" t="s">
        <v>38</v>
      </c>
      <c r="G80" s="36" t="s">
        <v>126</v>
      </c>
      <c r="H80" s="38" t="s">
        <v>121</v>
      </c>
      <c r="J80" s="35" t="s">
        <v>38</v>
      </c>
      <c r="K80" s="36" t="s">
        <v>40</v>
      </c>
      <c r="L80" s="36">
        <v>-1</v>
      </c>
      <c r="M80"/>
      <c r="N80" s="35" t="s">
        <v>38</v>
      </c>
      <c r="O80" s="36" t="s">
        <v>46</v>
      </c>
      <c r="P80" s="38" t="s">
        <v>47</v>
      </c>
      <c r="Q80"/>
      <c r="R80" s="35" t="s">
        <v>38</v>
      </c>
      <c r="S80" s="36" t="s">
        <v>67</v>
      </c>
      <c r="T80" s="38" t="s">
        <v>258</v>
      </c>
      <c r="U80"/>
      <c r="V80" s="35" t="s">
        <v>38</v>
      </c>
      <c r="W80" s="36" t="s">
        <v>67</v>
      </c>
      <c r="X80" s="38" t="s">
        <v>117</v>
      </c>
      <c r="Y80"/>
      <c r="Z80" s="35" t="s">
        <v>38</v>
      </c>
      <c r="AA80" s="36" t="s">
        <v>67</v>
      </c>
      <c r="AB80" s="38" t="s">
        <v>117</v>
      </c>
      <c r="AC80"/>
      <c r="AD80" s="35" t="s">
        <v>38</v>
      </c>
      <c r="AE80" s="36" t="s">
        <v>46</v>
      </c>
      <c r="AF80" s="38" t="s">
        <v>142</v>
      </c>
      <c r="AG80"/>
      <c r="AH80" s="35" t="s">
        <v>38</v>
      </c>
      <c r="AI80" s="36" t="s">
        <v>151</v>
      </c>
      <c r="AJ80" s="36">
        <v>100</v>
      </c>
      <c r="AK80"/>
      <c r="AL80" s="35" t="s">
        <v>38</v>
      </c>
      <c r="AM80" s="36" t="s">
        <v>152</v>
      </c>
      <c r="AN80" s="36">
        <v>300</v>
      </c>
      <c r="AO80"/>
      <c r="AP80" s="35" t="s">
        <v>38</v>
      </c>
      <c r="AQ80" s="36" t="s">
        <v>152</v>
      </c>
      <c r="AR80" s="36">
        <v>300</v>
      </c>
      <c r="AS80"/>
      <c r="AT80" s="35" t="s">
        <v>38</v>
      </c>
      <c r="AU80" s="36" t="s">
        <v>152</v>
      </c>
      <c r="AV80" s="36">
        <v>300</v>
      </c>
      <c r="AW80"/>
      <c r="AX80" s="35" t="s">
        <v>38</v>
      </c>
      <c r="AY80" s="47" t="s">
        <v>197</v>
      </c>
      <c r="AZ80" s="49" t="s">
        <v>231</v>
      </c>
      <c r="BA80"/>
    </row>
    <row r="81" spans="1:53" s="7" customFormat="1" ht="15.75">
      <c r="A81"/>
      <c r="B81" s="35" t="s">
        <v>38</v>
      </c>
      <c r="C81" s="36" t="s">
        <v>125</v>
      </c>
      <c r="D81" s="38" t="s">
        <v>122</v>
      </c>
      <c r="E81"/>
      <c r="F81" s="35" t="s">
        <v>38</v>
      </c>
      <c r="G81" s="36" t="s">
        <v>125</v>
      </c>
      <c r="H81" s="38" t="s">
        <v>122</v>
      </c>
      <c r="J81" s="35" t="s">
        <v>38</v>
      </c>
      <c r="K81" s="36" t="s">
        <v>41</v>
      </c>
      <c r="L81" s="36">
        <v>-1</v>
      </c>
      <c r="M81"/>
      <c r="N81" s="35" t="s">
        <v>38</v>
      </c>
      <c r="O81" s="36" t="s">
        <v>48</v>
      </c>
      <c r="P81" s="38" t="s">
        <v>49</v>
      </c>
      <c r="Q81"/>
      <c r="R81" s="35" t="s">
        <v>38</v>
      </c>
      <c r="S81" s="36" t="s">
        <v>66</v>
      </c>
      <c r="T81" s="38" t="s">
        <v>259</v>
      </c>
      <c r="U81"/>
      <c r="V81" s="35" t="s">
        <v>38</v>
      </c>
      <c r="W81" s="36" t="s">
        <v>66</v>
      </c>
      <c r="X81" s="38" t="s">
        <v>116</v>
      </c>
      <c r="Y81"/>
      <c r="Z81" s="35" t="s">
        <v>38</v>
      </c>
      <c r="AA81" s="36" t="s">
        <v>66</v>
      </c>
      <c r="AB81" s="38" t="s">
        <v>116</v>
      </c>
      <c r="AC81"/>
      <c r="AD81" s="35" t="s">
        <v>38</v>
      </c>
      <c r="AE81" s="36" t="s">
        <v>153</v>
      </c>
      <c r="AF81" s="38" t="s">
        <v>64</v>
      </c>
      <c r="AG81"/>
      <c r="AH81" s="35" t="s">
        <v>38</v>
      </c>
      <c r="AI81" s="36" t="s">
        <v>154</v>
      </c>
      <c r="AJ81" s="36">
        <v>100</v>
      </c>
      <c r="AK81"/>
      <c r="AL81"/>
      <c r="AM81"/>
      <c r="AN81"/>
      <c r="AO81"/>
      <c r="AP81"/>
      <c r="AQ81"/>
      <c r="AR81"/>
      <c r="AS81"/>
      <c r="AT81"/>
      <c r="AU81"/>
      <c r="AV81"/>
      <c r="AW81"/>
      <c r="AX81" s="35" t="s">
        <v>38</v>
      </c>
      <c r="AY81" s="47" t="s">
        <v>198</v>
      </c>
      <c r="AZ81" s="49" t="s">
        <v>236</v>
      </c>
      <c r="BA81"/>
    </row>
    <row r="82" spans="1:53" s="7" customFormat="1" ht="15.75">
      <c r="A82"/>
      <c r="B82" s="35" t="s">
        <v>38</v>
      </c>
      <c r="C82" s="36" t="s">
        <v>126</v>
      </c>
      <c r="D82" s="38" t="s">
        <v>123</v>
      </c>
      <c r="E82"/>
      <c r="F82" s="35" t="s">
        <v>38</v>
      </c>
      <c r="G82" s="36" t="s">
        <v>126</v>
      </c>
      <c r="H82" s="38" t="s">
        <v>123</v>
      </c>
      <c r="J82"/>
      <c r="K82"/>
      <c r="L82"/>
      <c r="M82"/>
      <c r="N82" s="35" t="s">
        <v>38</v>
      </c>
      <c r="O82" s="36" t="s">
        <v>50</v>
      </c>
      <c r="P82" s="38" t="s">
        <v>47</v>
      </c>
      <c r="Q82"/>
      <c r="R82" s="35" t="s">
        <v>38</v>
      </c>
      <c r="S82" s="36" t="s">
        <v>57</v>
      </c>
      <c r="T82" s="38" t="s">
        <v>227</v>
      </c>
      <c r="U82"/>
      <c r="V82" s="35" t="s">
        <v>38</v>
      </c>
      <c r="W82" s="36" t="s">
        <v>57</v>
      </c>
      <c r="X82" s="38" t="s">
        <v>58</v>
      </c>
      <c r="Y82"/>
      <c r="Z82" s="35" t="s">
        <v>38</v>
      </c>
      <c r="AA82" s="36" t="s">
        <v>57</v>
      </c>
      <c r="AB82" s="38" t="s">
        <v>58</v>
      </c>
      <c r="AC82"/>
      <c r="AD82" s="35" t="s">
        <v>38</v>
      </c>
      <c r="AE82" s="36" t="s">
        <v>50</v>
      </c>
      <c r="AF82" s="38" t="s">
        <v>136</v>
      </c>
      <c r="AG82"/>
      <c r="AH82" s="35" t="s">
        <v>38</v>
      </c>
      <c r="AI82" s="36" t="s">
        <v>155</v>
      </c>
      <c r="AJ82" s="36">
        <v>200</v>
      </c>
      <c r="AK82"/>
      <c r="AL82"/>
      <c r="AM82"/>
      <c r="AN82"/>
      <c r="AO82"/>
      <c r="AP82"/>
      <c r="AQ82"/>
      <c r="AR82"/>
      <c r="AS82"/>
      <c r="AT82"/>
      <c r="AU82"/>
      <c r="AV82"/>
      <c r="AW82"/>
      <c r="AX82" s="35" t="s">
        <v>38</v>
      </c>
      <c r="AY82" s="47" t="s">
        <v>237</v>
      </c>
      <c r="AZ82" s="49" t="s">
        <v>238</v>
      </c>
      <c r="BA82"/>
    </row>
    <row r="83" spans="1:53" s="7" customFormat="1" ht="15.75">
      <c r="A83"/>
      <c r="B83" s="35" t="s">
        <v>38</v>
      </c>
      <c r="C83" s="36" t="s">
        <v>125</v>
      </c>
      <c r="D83" s="38" t="s">
        <v>135</v>
      </c>
      <c r="E83"/>
      <c r="F83" s="35" t="s">
        <v>38</v>
      </c>
      <c r="G83" s="36" t="s">
        <v>125</v>
      </c>
      <c r="H83" s="38" t="s">
        <v>135</v>
      </c>
      <c r="J83"/>
      <c r="K83"/>
      <c r="L83"/>
      <c r="M83"/>
      <c r="N83"/>
      <c r="O83"/>
      <c r="P83"/>
      <c r="Q83"/>
      <c r="R83" s="35" t="s">
        <v>38</v>
      </c>
      <c r="S83" s="36" t="s">
        <v>55</v>
      </c>
      <c r="T83" s="49" t="s">
        <v>141</v>
      </c>
      <c r="U83"/>
      <c r="V83" s="35" t="s">
        <v>38</v>
      </c>
      <c r="W83" s="36" t="s">
        <v>55</v>
      </c>
      <c r="X83" s="38" t="s">
        <v>138</v>
      </c>
      <c r="Y83"/>
      <c r="Z83" s="35" t="s">
        <v>38</v>
      </c>
      <c r="AA83" s="36" t="s">
        <v>55</v>
      </c>
      <c r="AB83" s="38" t="s">
        <v>138</v>
      </c>
      <c r="AC83"/>
      <c r="AD83" s="35" t="s">
        <v>38</v>
      </c>
      <c r="AE83" s="36" t="s">
        <v>156</v>
      </c>
      <c r="AF83" s="38" t="s">
        <v>64</v>
      </c>
      <c r="AG83"/>
      <c r="AH83" s="35" t="s">
        <v>38</v>
      </c>
      <c r="AI83" s="36" t="s">
        <v>157</v>
      </c>
      <c r="AJ83" s="36">
        <v>100</v>
      </c>
      <c r="AK83"/>
      <c r="AL83"/>
      <c r="AM83"/>
      <c r="AN83"/>
      <c r="AO83"/>
      <c r="AP83"/>
      <c r="AQ83"/>
      <c r="AR83"/>
      <c r="AS83"/>
      <c r="AT83"/>
      <c r="AU83"/>
      <c r="AV83"/>
      <c r="AW83"/>
      <c r="AX83" s="35" t="s">
        <v>38</v>
      </c>
      <c r="AY83" s="47" t="s">
        <v>199</v>
      </c>
      <c r="AZ83" s="49" t="s">
        <v>240</v>
      </c>
      <c r="BA83"/>
    </row>
    <row r="84" spans="1:53" s="7" customFormat="1" ht="15.75">
      <c r="A84"/>
      <c r="B84" s="35" t="s">
        <v>38</v>
      </c>
      <c r="C84" s="36" t="s">
        <v>126</v>
      </c>
      <c r="D84" s="38" t="s">
        <v>124</v>
      </c>
      <c r="E84"/>
      <c r="F84" s="35" t="s">
        <v>38</v>
      </c>
      <c r="G84" s="36" t="s">
        <v>126</v>
      </c>
      <c r="H84" s="38" t="s">
        <v>124</v>
      </c>
      <c r="J84"/>
      <c r="K84"/>
      <c r="L84"/>
      <c r="M84"/>
      <c r="N84"/>
      <c r="O84"/>
      <c r="P84"/>
      <c r="Q84"/>
      <c r="R84" s="35" t="s">
        <v>38</v>
      </c>
      <c r="S84" s="36" t="s">
        <v>56</v>
      </c>
      <c r="T84" s="49" t="s">
        <v>137</v>
      </c>
      <c r="U84"/>
      <c r="V84" s="35" t="s">
        <v>38</v>
      </c>
      <c r="W84" s="36" t="s">
        <v>56</v>
      </c>
      <c r="X84" s="38" t="s">
        <v>139</v>
      </c>
      <c r="Y84"/>
      <c r="Z84" s="35" t="s">
        <v>38</v>
      </c>
      <c r="AA84" s="36" t="s">
        <v>56</v>
      </c>
      <c r="AB84" s="38" t="s">
        <v>139</v>
      </c>
      <c r="AC84"/>
      <c r="AD84" s="35" t="s">
        <v>38</v>
      </c>
      <c r="AE84" s="36" t="s">
        <v>158</v>
      </c>
      <c r="AF84" s="38" t="s">
        <v>159</v>
      </c>
      <c r="AG84"/>
      <c r="AH84" s="35" t="s">
        <v>38</v>
      </c>
      <c r="AI84" s="36" t="s">
        <v>160</v>
      </c>
      <c r="AJ84" s="36">
        <v>6000</v>
      </c>
      <c r="AK84"/>
      <c r="AL84"/>
      <c r="AM84"/>
      <c r="AN84"/>
      <c r="AO84"/>
      <c r="AP84"/>
      <c r="AQ84"/>
      <c r="AR84"/>
      <c r="AS84"/>
      <c r="AT84"/>
      <c r="AU84"/>
      <c r="AV84"/>
      <c r="AW84"/>
      <c r="AX84" s="35" t="s">
        <v>38</v>
      </c>
      <c r="AY84" s="47" t="s">
        <v>200</v>
      </c>
      <c r="AZ84" s="49" t="s">
        <v>242</v>
      </c>
      <c r="BA84"/>
    </row>
    <row r="85" spans="1:53" s="7" customFormat="1" ht="15.75">
      <c r="A85"/>
      <c r="B85" s="35" t="s">
        <v>38</v>
      </c>
      <c r="C85" s="36" t="s">
        <v>125</v>
      </c>
      <c r="D85" s="38" t="s">
        <v>136</v>
      </c>
      <c r="E85"/>
      <c r="F85" s="35" t="s">
        <v>38</v>
      </c>
      <c r="G85" s="36" t="s">
        <v>125</v>
      </c>
      <c r="H85" s="38" t="s">
        <v>136</v>
      </c>
      <c r="J85"/>
      <c r="K85"/>
      <c r="L85"/>
      <c r="M85"/>
      <c r="N85"/>
      <c r="O85"/>
      <c r="P85"/>
      <c r="Q85"/>
      <c r="R85" s="35" t="s">
        <v>38</v>
      </c>
      <c r="S85" s="36" t="s">
        <v>59</v>
      </c>
      <c r="T85" s="49" t="s">
        <v>243</v>
      </c>
      <c r="U85"/>
      <c r="V85" s="35" t="s">
        <v>38</v>
      </c>
      <c r="W85" s="36" t="s">
        <v>59</v>
      </c>
      <c r="X85" s="38" t="s">
        <v>141</v>
      </c>
      <c r="Y85"/>
      <c r="Z85" s="35" t="s">
        <v>38</v>
      </c>
      <c r="AA85" s="36" t="s">
        <v>59</v>
      </c>
      <c r="AB85" s="38" t="s">
        <v>141</v>
      </c>
      <c r="AC85"/>
      <c r="AD85"/>
      <c r="AE85"/>
      <c r="AF85"/>
      <c r="AG85"/>
      <c r="AH85" s="35" t="s">
        <v>38</v>
      </c>
      <c r="AI85" s="36" t="s">
        <v>255</v>
      </c>
      <c r="AJ85" s="36">
        <v>100</v>
      </c>
      <c r="AK85"/>
      <c r="AL85"/>
      <c r="AM85"/>
      <c r="AN85"/>
      <c r="AO85"/>
      <c r="AP85"/>
      <c r="AQ85"/>
      <c r="AR85"/>
      <c r="AS85"/>
      <c r="AT85"/>
      <c r="AU85"/>
      <c r="AV85"/>
      <c r="AW85"/>
      <c r="AX85" s="35" t="s">
        <v>38</v>
      </c>
      <c r="AY85" s="47" t="s">
        <v>201</v>
      </c>
      <c r="AZ85" s="52">
        <f>ROUND(AZ80+AZ86*AZ82/1000, 0)</f>
        <v>355000</v>
      </c>
      <c r="BA85"/>
    </row>
    <row r="86" spans="1:53" s="7" customFormat="1" ht="15.75">
      <c r="A86"/>
      <c r="B86" s="41" t="s">
        <v>38</v>
      </c>
      <c r="C86" s="42" t="s">
        <v>127</v>
      </c>
      <c r="D86" s="38" t="s">
        <v>63</v>
      </c>
      <c r="E86"/>
      <c r="F86" s="41" t="s">
        <v>38</v>
      </c>
      <c r="G86" s="42" t="s">
        <v>127</v>
      </c>
      <c r="H86" s="38" t="s">
        <v>64</v>
      </c>
      <c r="J86"/>
      <c r="K86"/>
      <c r="L86"/>
      <c r="M86"/>
      <c r="N86"/>
      <c r="O86"/>
      <c r="P86"/>
      <c r="Q86"/>
      <c r="R86" s="35" t="s">
        <v>38</v>
      </c>
      <c r="S86" s="36" t="s">
        <v>60</v>
      </c>
      <c r="T86" s="49" t="s">
        <v>241</v>
      </c>
      <c r="U86"/>
      <c r="V86" s="35" t="s">
        <v>38</v>
      </c>
      <c r="W86" s="36" t="s">
        <v>60</v>
      </c>
      <c r="X86" s="38" t="s">
        <v>140</v>
      </c>
      <c r="Y86"/>
      <c r="Z86" s="35" t="s">
        <v>38</v>
      </c>
      <c r="AA86" s="36" t="s">
        <v>60</v>
      </c>
      <c r="AB86" s="38" t="s">
        <v>140</v>
      </c>
      <c r="AC86"/>
      <c r="AD86"/>
      <c r="AE86"/>
      <c r="AF86"/>
      <c r="AG86"/>
      <c r="AH86" s="35" t="s">
        <v>38</v>
      </c>
      <c r="AI86" s="36" t="s">
        <v>256</v>
      </c>
      <c r="AJ86" s="36">
        <v>25500</v>
      </c>
      <c r="AK86"/>
      <c r="AL86"/>
      <c r="AM86"/>
      <c r="AN86"/>
      <c r="AO86"/>
      <c r="AP86"/>
      <c r="AQ86"/>
      <c r="AR86"/>
      <c r="AS86"/>
      <c r="AT86"/>
      <c r="AU86"/>
      <c r="AV86"/>
      <c r="AW86"/>
      <c r="AX86" s="41" t="s">
        <v>38</v>
      </c>
      <c r="AY86" s="53" t="s">
        <v>202</v>
      </c>
      <c r="AZ86" s="52">
        <f>ROUND((AZ79-AZ80)*1000/(AZ82-AZ81),0)</f>
        <v>6000</v>
      </c>
      <c r="BA86"/>
    </row>
    <row r="87" spans="1:53" s="7" customFormat="1" ht="15.7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s="35" t="s">
        <v>38</v>
      </c>
      <c r="AY87" s="47" t="s">
        <v>203</v>
      </c>
      <c r="AZ87" s="52">
        <f>ROUND(AZ84+AZ88*AZ82/1000,0)</f>
        <v>285016</v>
      </c>
      <c r="BA87"/>
    </row>
    <row r="88" spans="1:53" s="7" customFormat="1" ht="15.7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s="41" t="s">
        <v>38</v>
      </c>
      <c r="AY88" s="53" t="s">
        <v>204</v>
      </c>
      <c r="AZ88" s="52">
        <f>ROUND((AZ83-AZ84)*1000/(AZ82-AZ81),0)</f>
        <v>4667</v>
      </c>
      <c r="BA88"/>
    </row>
    <row r="89" spans="1:53" s="7" customFormat="1" ht="15.7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s="35" t="s">
        <v>38</v>
      </c>
      <c r="AY89" s="36" t="s">
        <v>226</v>
      </c>
      <c r="AZ89" s="49" t="s">
        <v>232</v>
      </c>
      <c r="BA89"/>
    </row>
    <row r="90" spans="1:53" s="7" customFormat="1" ht="15.7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s="35" t="s">
        <v>38</v>
      </c>
      <c r="AY90" s="36" t="s">
        <v>228</v>
      </c>
      <c r="AZ90" s="49" t="s">
        <v>232</v>
      </c>
      <c r="BA90"/>
    </row>
    <row r="91" spans="1:53" s="7" customFormat="1" ht="15.7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s="35" t="s">
        <v>38</v>
      </c>
      <c r="AY91" s="36" t="s">
        <v>229</v>
      </c>
      <c r="AZ91" s="49" t="s">
        <v>230</v>
      </c>
      <c r="BA91"/>
    </row>
    <row r="92" spans="1:53" s="7" customFormat="1" ht="15.7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row>
    <row r="93" spans="1:53" s="7" customFormat="1" ht="15.7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row>
    <row r="94" spans="1:53" s="7" customFormat="1" ht="15.7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row>
    <row r="95" spans="1:53" ht="15.7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row>
    <row r="96" spans="1:53" ht="15.7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row>
    <row r="97" spans="1:53" ht="15.7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row>
    <row r="98" spans="1:53" ht="15.7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row>
    <row r="99" spans="1:53" ht="15.7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row>
    <row r="100" spans="1:53" ht="15.7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row>
    <row r="101" spans="1:53" ht="15.7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row>
    <row r="102" spans="1:53" ht="15.7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row>
    <row r="103" spans="1:53" ht="15.7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row>
    <row r="104" spans="1:53" ht="15.7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row>
    <row r="105" spans="1:53" ht="15.7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row>
    <row r="106" spans="1:53" ht="15.7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row>
    <row r="107" spans="1:53" ht="15.7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row>
    <row r="108" spans="1:53" ht="15.7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row>
    <row r="109" spans="1:53" ht="15.7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row>
    <row r="110" spans="1:53" ht="15.7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row>
    <row r="111" spans="1:53" ht="15.7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row>
    <row r="112" spans="1:53" ht="15.7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row>
    <row r="113" spans="1:53" ht="15.7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row>
    <row r="114" spans="1:53" ht="15.7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row>
    <row r="115" spans="1:53" ht="15.7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row>
    <row r="116" spans="1:53" ht="15.7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row>
    <row r="117" spans="1:53" ht="15.7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row>
    <row r="118" spans="1:53" ht="15.7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row>
    <row r="119" spans="1:53" ht="15.7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row>
    <row r="120" spans="1:53" ht="15.7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row>
    <row r="121" spans="1:53" ht="15.7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row>
    <row r="122" spans="1:53" ht="15.7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row>
  </sheetData>
  <phoneticPr fontId="8" type="noConversion"/>
  <dataValidations count="10">
    <dataValidation type="decimal" allowBlank="1" showInputMessage="1" showErrorMessage="1" errorTitle="Invalid" error="Must be 0 or 1" promptTitle="kernel log" prompt="0, off (default)_x000a_1, on" sqref="L78 AJ78">
      <formula1>0</formula1>
      <formula2>1</formula2>
    </dataValidation>
    <dataValidation type="decimal" allowBlank="1" showInputMessage="1" showErrorMessage="1" errorTitle="Invalid" error="Must between [-1, 65535]" promptTitle="Range" prompt="between [-1, 65535]" sqref="L79:L81">
      <formula1>-1</formula1>
      <formula2>65535</formula2>
    </dataValidation>
    <dataValidation type="list" allowBlank="1" showInputMessage="1" showErrorMessage="1" sqref="L77 P77 AZ77 AB77 X77 AN1 AJ1 AF1 AB1 H77 AR1 L1 P1 X1 T1 H1 D1 D77 AV1 AZ1 AV77 AF77 AJ77 AN77 AR77 T77">
      <formula1>"ENABLE,DISABLE"</formula1>
    </dataValidation>
    <dataValidation type="list" allowBlank="1" showInputMessage="1" showErrorMessage="1" sqref="AE55:AE57 C27:C29 AU62:AU64 AU13:AU15 AU69:AU71 AU20:AU22 AU27:AU29 AU34:AU36 AU41:AU43 AU48:AU50 AU55:AU57 C13:C15 AQ62:AQ64 AQ13:AQ15 AQ69:AQ71 AQ20:AQ22 AQ27:AQ29 AQ34:AQ36 AQ41:AQ43 AQ48:AQ50 AQ55:AQ57 C34:C36 AM62:AM64 AM13:AM15 AM69:AM71 AM20:AM22 AM27:AM29 AM34:AM36 AM41:AM43 AM48:AM50 AM55:AM57 AI6:AI8 AI62:AI64 AI13:AI15 AI69:AI71 AI20:AI22 AI27:AI29 AI34:AI36 AI41:AI43 AI48:AI50 AI55:AI57 AA62:AA64 AA13:AA15 AA69:AA71 AA20:AA22 AA27:AA29 AA34:AA36 AA41:AA43 AA6:AA8 AA48:AA50 AA55:AA57 AY27:AY29 AY34:AY36 AY41:AY43 C41:C43 W62:W64 W55:W57 W48:W50 W6:W8 W41:W43 W34:W36 W27:W29 W20:W22 W69:W71 W13:W15 K62:K64 K55:K57 K48:K50 G62:G64 K6:K8 K41:K43 G55:G57 G48:G50 G6:G8 K34:K36 K27:K29 G41:G43 K20:K22 G34:G36 G27:G29 K69:K71 G20:G22 G69:G71 K13:K15 S62:S64 S55:S57 S48:S50 S6:S8 S41:S43 S34:S36 S27:S29 S20:S22 S69:S71 S13:S15 C62:C64 C55:C57 C48:C50 AY48:AY50 AY55:AY57 C69:C71 O62:O64 O55:O57 O48:O50 O6:O8 O41:O43 O34:O36 O27:O29 O20:O22 O69:O71 O13:O15 G13:G15 AE6:AE8 AE62:AE64 AE13:AE15 AE69:AE71 AE20:AE22 AE27:AE29 AE34:AE36 AE41:AE43 AE48:AE50 C20:C22 AY62:AY64 AY13:AY15 AY69:AY71 AY20:AY22 C6:C8">
      <formula1>"NULL, CPU0 loading(%), Wifi usage(Kb/s), EXIT, mtktscpu, mtktsabb, mtktspmic, mtktsbattery, mtktspa, mtktswmt, mtktsAP, mtktsbuck, mtktsbattery2, mtktsxtal"</formula1>
    </dataValidation>
    <dataValidation type="list" allowBlank="1" showInputMessage="1" showErrorMessage="1" sqref="AE1 AU1 AQ1 AM1 AI1 AA1 W1 S1 O1 K1 G1 C1 AY1">
      <formula1>'6755_tz'!A2:A97</formula1>
    </dataValidation>
    <dataValidation type="list" allowBlank="1" showInputMessage="1" sqref="AE61 AQ5 AU68 AU12 AU19 AU26 AU33 AU40 AU47 AU54 AU61 AM5 AQ68 AQ12 AQ19 AQ26 AQ33 AQ40 AQ47 AQ54 AQ61 C33 AM68 AM12 AM19 AM26 AM33 AM40 AM47 AM54 AM61 AI5 AI68 AI12 AI19 AI26 AI33 AI40 AI47 AI54 AI61 AA5 AA12 AA19 AA26 AA33 AA40 AA47 AA54 AA61 AA68 AY33 AY40 C40 W68 W61 W54 W47 W40 W33 W26 W19 W5 W12 S68 S61 S54 S47 S40 S33 S26 S19 S5 S12 O68 O61 O54 O47 O40 O33 O26 O19 O5 O12 K68 K61 K54 K47 K40 K33 K26 K19 K5 K12 G68 G61 G54 G47 G40 G33 G26 G19 G5 G12 C68 C61 C54 C47 AY47 AY54 AY61 AE5 AE68 AE12 AE19 AE26 AE33 AE40 AE47 AE54 AU5 AY68 AY12 AY19 AY26 AY5">
      <formula1>'6755_coolers'!A2:A137</formula1>
    </dataValidation>
    <dataValidation type="decimal" allowBlank="1" showInputMessage="1" showErrorMessage="1" errorTitle="Invalid" error="Must between [-1, 65535]" promptTitle="Range" prompt="0 or between [100, 25500]" sqref="AN79:AN80 AR79:AR80 AV79:AV80 AJ79:AJ86">
      <formula1>0</formula1>
      <formula2>25500</formula2>
    </dataValidation>
    <dataValidation type="decimal" allowBlank="1" showInputMessage="1" showErrorMessage="1" errorTitle="Invalid" error="Must be 0 or 1" promptTitle="kernel log" prompt="[1, max step]" sqref="AN78 AR78 AV78">
      <formula1>1</formula1>
      <formula2>5</formula2>
    </dataValidation>
    <dataValidation type="list" allowBlank="1" showInputMessage="1" sqref="C19 C5 C26 C12">
      <formula1>'[5]6595_coolers'!A2:A136</formula1>
    </dataValidation>
    <dataValidation type="list" allowBlank="1" showInputMessage="1" showErrorMessage="1" sqref="AM6:AM8 AQ6:AQ8 AU6:AU8 AY6:AY8">
      <formula1>"NULL, CPU0 loading(%), Wifi usage(Kb/s), &lt; Mobile usage(Kb/s), EXIT, mtktscpu, mtktsabb, mtktspmic, mtktsbattery, mtktspa, mtktswmt, mtktsAP, mtktsbuck, mtktsbattery2, mtktsxtal"</formula1>
    </dataValidation>
  </dataValidations>
  <pageMargins left="0.7" right="0.7" top="0.75" bottom="0.75" header="0.3" footer="0.3"/>
  <pageSetup paperSize="9" orientation="portrait" r:id="rId1"/>
  <legacyDrawing r:id="rId2"/>
</worksheet>
</file>

<file path=xl/worksheets/sheet14.xml><?xml version="1.0" encoding="utf-8"?>
<worksheet xmlns="http://schemas.openxmlformats.org/spreadsheetml/2006/main" xmlns:r="http://schemas.openxmlformats.org/officeDocument/2006/relationships">
  <sheetPr codeName="Sheet49"/>
  <dimension ref="A1:BA122"/>
  <sheetViews>
    <sheetView zoomScale="90" zoomScaleNormal="90" zoomScaleSheetLayoutView="100" workbookViewId="0">
      <selection activeCell="T32" sqref="T32"/>
    </sheetView>
  </sheetViews>
  <sheetFormatPr defaultRowHeight="14.2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3.5703125" style="33" bestFit="1" customWidth="1"/>
    <col min="43" max="43" width="15.28515625" style="33" bestFit="1" customWidth="1"/>
    <col min="44" max="44" width="7.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9.140625" style="7"/>
    <col min="54" max="16384" width="9.140625" style="1"/>
  </cols>
  <sheetData>
    <row r="1" spans="1:53" ht="57.75" customHeight="1">
      <c r="B1" s="2" t="s">
        <v>35</v>
      </c>
      <c r="C1" s="3" t="s">
        <v>23</v>
      </c>
      <c r="D1" s="4" t="s">
        <v>36</v>
      </c>
      <c r="E1" s="5"/>
      <c r="F1" s="2" t="s">
        <v>35</v>
      </c>
      <c r="G1" s="3" t="s">
        <v>24</v>
      </c>
      <c r="H1" s="4" t="s">
        <v>36</v>
      </c>
      <c r="I1" s="5"/>
      <c r="J1" s="2" t="s">
        <v>35</v>
      </c>
      <c r="K1" s="3" t="s">
        <v>25</v>
      </c>
      <c r="L1" s="4" t="s">
        <v>37</v>
      </c>
      <c r="M1" s="6"/>
      <c r="N1" s="2" t="s">
        <v>35</v>
      </c>
      <c r="O1" s="3" t="s">
        <v>26</v>
      </c>
      <c r="P1" s="4" t="s">
        <v>36</v>
      </c>
      <c r="Q1" s="6"/>
      <c r="R1" s="2" t="s">
        <v>35</v>
      </c>
      <c r="S1" s="3" t="s">
        <v>34</v>
      </c>
      <c r="T1" s="4" t="s">
        <v>36</v>
      </c>
      <c r="U1" s="6"/>
      <c r="V1" s="2" t="s">
        <v>35</v>
      </c>
      <c r="W1" s="3" t="s">
        <v>27</v>
      </c>
      <c r="X1" s="4" t="s">
        <v>36</v>
      </c>
      <c r="Y1" s="6"/>
      <c r="Z1" s="2" t="s">
        <v>35</v>
      </c>
      <c r="AA1" s="3" t="s">
        <v>68</v>
      </c>
      <c r="AB1" s="4" t="s">
        <v>36</v>
      </c>
      <c r="AC1" s="6"/>
      <c r="AD1" s="2" t="s">
        <v>35</v>
      </c>
      <c r="AE1" s="3" t="s">
        <v>69</v>
      </c>
      <c r="AF1" s="4" t="s">
        <v>36</v>
      </c>
      <c r="AG1" s="6"/>
      <c r="AH1" s="2" t="s">
        <v>35</v>
      </c>
      <c r="AI1" s="3" t="s">
        <v>132</v>
      </c>
      <c r="AJ1" s="4" t="s">
        <v>36</v>
      </c>
      <c r="AK1" s="6"/>
      <c r="AL1" s="2" t="s">
        <v>35</v>
      </c>
      <c r="AM1" s="3" t="s">
        <v>128</v>
      </c>
      <c r="AN1" s="4" t="s">
        <v>36</v>
      </c>
      <c r="AO1" s="6"/>
      <c r="AP1" s="2" t="s">
        <v>35</v>
      </c>
      <c r="AQ1" s="3" t="s">
        <v>206</v>
      </c>
      <c r="AR1" s="4" t="s">
        <v>36</v>
      </c>
      <c r="AS1" s="6"/>
      <c r="AT1" s="2" t="s">
        <v>35</v>
      </c>
      <c r="AU1" s="3" t="s">
        <v>207</v>
      </c>
      <c r="AV1" s="4" t="s">
        <v>36</v>
      </c>
      <c r="AW1" s="6"/>
      <c r="AX1" s="2" t="s">
        <v>35</v>
      </c>
      <c r="AY1" s="3" t="s">
        <v>208</v>
      </c>
      <c r="AZ1" s="4" t="s">
        <v>36</v>
      </c>
      <c r="BA1"/>
    </row>
    <row r="2" spans="1:53" ht="30.75" customHeight="1">
      <c r="B2" s="2" t="s">
        <v>9</v>
      </c>
      <c r="C2" s="3">
        <v>1</v>
      </c>
      <c r="D2" s="8"/>
      <c r="E2" s="9"/>
      <c r="F2" s="2" t="s">
        <v>9</v>
      </c>
      <c r="G2" s="3">
        <v>1</v>
      </c>
      <c r="H2" s="8"/>
      <c r="I2" s="10"/>
      <c r="J2" s="2" t="s">
        <v>9</v>
      </c>
      <c r="K2" s="3">
        <v>1</v>
      </c>
      <c r="L2" s="8"/>
      <c r="M2" s="10"/>
      <c r="N2" s="2" t="s">
        <v>9</v>
      </c>
      <c r="O2" s="3">
        <v>1</v>
      </c>
      <c r="P2" s="8"/>
      <c r="Q2" s="10"/>
      <c r="R2" s="2" t="s">
        <v>9</v>
      </c>
      <c r="S2" s="3">
        <v>1</v>
      </c>
      <c r="T2" s="8"/>
      <c r="U2" s="10"/>
      <c r="V2" s="2" t="s">
        <v>9</v>
      </c>
      <c r="W2" s="3">
        <v>1</v>
      </c>
      <c r="X2" s="8"/>
      <c r="Y2" s="10"/>
      <c r="Z2" s="2" t="s">
        <v>9</v>
      </c>
      <c r="AA2" s="3">
        <v>1</v>
      </c>
      <c r="AB2" s="8"/>
      <c r="AC2" s="10"/>
      <c r="AD2" s="2" t="s">
        <v>9</v>
      </c>
      <c r="AE2" s="3">
        <v>1</v>
      </c>
      <c r="AF2" s="8"/>
      <c r="AG2" s="10"/>
      <c r="AH2" s="2" t="s">
        <v>9</v>
      </c>
      <c r="AI2" s="3">
        <v>1</v>
      </c>
      <c r="AJ2" s="8"/>
      <c r="AK2" s="10"/>
      <c r="AL2" s="2" t="s">
        <v>9</v>
      </c>
      <c r="AM2" s="3">
        <v>0</v>
      </c>
      <c r="AN2" s="8"/>
      <c r="AO2" s="10"/>
      <c r="AP2" s="2" t="s">
        <v>9</v>
      </c>
      <c r="AQ2" s="3">
        <v>0</v>
      </c>
      <c r="AR2" s="8"/>
      <c r="AS2" s="10"/>
      <c r="AT2" s="2" t="s">
        <v>9</v>
      </c>
      <c r="AU2" s="3">
        <v>0</v>
      </c>
      <c r="AV2" s="8"/>
      <c r="AW2" s="10"/>
      <c r="AX2" s="2" t="s">
        <v>9</v>
      </c>
      <c r="AY2" s="3">
        <v>0</v>
      </c>
      <c r="AZ2" s="8"/>
      <c r="BA2"/>
    </row>
    <row r="3" spans="1:53" ht="15" customHeight="1">
      <c r="A3" s="11"/>
      <c r="B3" s="12" t="s">
        <v>7</v>
      </c>
      <c r="C3" s="13">
        <v>117000</v>
      </c>
      <c r="D3" s="14"/>
      <c r="E3" s="9"/>
      <c r="F3" s="12" t="s">
        <v>7</v>
      </c>
      <c r="G3" s="13">
        <v>145000</v>
      </c>
      <c r="H3" s="14"/>
      <c r="I3" s="10"/>
      <c r="J3" s="12" t="s">
        <v>7</v>
      </c>
      <c r="K3" s="13">
        <v>120000</v>
      </c>
      <c r="L3" s="14"/>
      <c r="M3" s="10"/>
      <c r="N3" s="12" t="s">
        <v>7</v>
      </c>
      <c r="O3" s="13">
        <v>120000</v>
      </c>
      <c r="P3" s="14"/>
      <c r="Q3" s="10"/>
      <c r="R3" s="12" t="s">
        <v>7</v>
      </c>
      <c r="S3" s="13">
        <v>117000</v>
      </c>
      <c r="T3" s="14"/>
      <c r="U3" s="10"/>
      <c r="V3" s="12" t="s">
        <v>7</v>
      </c>
      <c r="W3" s="13">
        <v>120000</v>
      </c>
      <c r="X3" s="14"/>
      <c r="Y3" s="10"/>
      <c r="Z3" s="12" t="s">
        <v>7</v>
      </c>
      <c r="AA3" s="13">
        <v>120000</v>
      </c>
      <c r="AB3" s="14"/>
      <c r="AC3" s="10"/>
      <c r="AD3" s="12" t="s">
        <v>7</v>
      </c>
      <c r="AE3" s="13">
        <v>120000</v>
      </c>
      <c r="AF3" s="14"/>
      <c r="AG3" s="10"/>
      <c r="AH3" s="12" t="s">
        <v>7</v>
      </c>
      <c r="AI3" s="13">
        <v>120000</v>
      </c>
      <c r="AJ3" s="14"/>
      <c r="AK3" s="10"/>
      <c r="AL3" s="12" t="s">
        <v>7</v>
      </c>
      <c r="AM3" s="13">
        <v>0</v>
      </c>
      <c r="AN3" s="14"/>
      <c r="AO3" s="10"/>
      <c r="AP3" s="12" t="s">
        <v>7</v>
      </c>
      <c r="AQ3" s="13">
        <v>0</v>
      </c>
      <c r="AR3" s="14"/>
      <c r="AS3" s="10"/>
      <c r="AT3" s="12" t="s">
        <v>7</v>
      </c>
      <c r="AU3" s="13">
        <v>0</v>
      </c>
      <c r="AV3" s="14"/>
      <c r="AW3" s="10"/>
      <c r="AX3" s="12" t="s">
        <v>7</v>
      </c>
      <c r="AY3" s="13">
        <v>0</v>
      </c>
      <c r="AZ3" s="14"/>
      <c r="BA3"/>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15">
        <v>0</v>
      </c>
      <c r="AJ4" s="14"/>
      <c r="AK4" s="10"/>
      <c r="AL4" s="12" t="s">
        <v>6</v>
      </c>
      <c r="AM4" s="15">
        <v>0</v>
      </c>
      <c r="AN4" s="14"/>
      <c r="AO4" s="10"/>
      <c r="AP4" s="12" t="s">
        <v>6</v>
      </c>
      <c r="AQ4" s="15">
        <v>0</v>
      </c>
      <c r="AR4" s="14"/>
      <c r="AS4" s="10"/>
      <c r="AT4" s="12" t="s">
        <v>6</v>
      </c>
      <c r="AU4" s="15">
        <v>0</v>
      </c>
      <c r="AV4" s="14"/>
      <c r="AW4" s="10"/>
      <c r="AX4" s="12" t="s">
        <v>6</v>
      </c>
      <c r="AY4" s="15">
        <v>0</v>
      </c>
      <c r="AZ4" s="14"/>
      <c r="BA4"/>
    </row>
    <row r="5" spans="1:53" ht="15" customHeight="1">
      <c r="A5" s="11"/>
      <c r="B5" s="12" t="s">
        <v>5</v>
      </c>
      <c r="C5" s="13" t="s">
        <v>15</v>
      </c>
      <c r="D5" s="14"/>
      <c r="E5" s="9"/>
      <c r="F5" s="12" t="s">
        <v>5</v>
      </c>
      <c r="G5" s="13" t="s">
        <v>1</v>
      </c>
      <c r="H5" s="14"/>
      <c r="I5" s="10"/>
      <c r="J5" s="12" t="s">
        <v>5</v>
      </c>
      <c r="K5" s="13" t="s">
        <v>2</v>
      </c>
      <c r="L5" s="14"/>
      <c r="M5" s="10"/>
      <c r="N5" s="12" t="s">
        <v>5</v>
      </c>
      <c r="O5" s="13" t="s">
        <v>17</v>
      </c>
      <c r="P5" s="14"/>
      <c r="Q5" s="10"/>
      <c r="R5" s="12" t="s">
        <v>5</v>
      </c>
      <c r="S5" s="13" t="s">
        <v>0</v>
      </c>
      <c r="T5" s="14"/>
      <c r="U5" s="10"/>
      <c r="V5" s="12" t="s">
        <v>5</v>
      </c>
      <c r="W5" s="13" t="s">
        <v>16</v>
      </c>
      <c r="X5" s="14"/>
      <c r="Y5" s="10"/>
      <c r="Z5" s="12" t="s">
        <v>5</v>
      </c>
      <c r="AA5" s="13" t="s">
        <v>32</v>
      </c>
      <c r="AB5" s="14"/>
      <c r="AC5" s="10"/>
      <c r="AD5" s="12" t="s">
        <v>5</v>
      </c>
      <c r="AE5" s="13" t="s">
        <v>105</v>
      </c>
      <c r="AF5" s="14"/>
      <c r="AG5" s="10"/>
      <c r="AH5" s="12" t="s">
        <v>5</v>
      </c>
      <c r="AI5" s="13" t="s">
        <v>106</v>
      </c>
      <c r="AJ5" s="14"/>
      <c r="AK5" s="10"/>
      <c r="AL5" s="12" t="s">
        <v>5</v>
      </c>
      <c r="AM5" s="13" t="s">
        <v>4</v>
      </c>
      <c r="AN5" s="14"/>
      <c r="AO5" s="10"/>
      <c r="AP5" s="12" t="s">
        <v>5</v>
      </c>
      <c r="AQ5" s="13" t="s">
        <v>4</v>
      </c>
      <c r="AR5" s="14"/>
      <c r="AS5" s="10"/>
      <c r="AT5" s="12" t="s">
        <v>5</v>
      </c>
      <c r="AU5" s="13" t="s">
        <v>4</v>
      </c>
      <c r="AV5" s="14"/>
      <c r="AW5" s="10"/>
      <c r="AX5" s="12" t="s">
        <v>5</v>
      </c>
      <c r="AY5" s="13" t="s">
        <v>4</v>
      </c>
      <c r="AZ5" s="14"/>
      <c r="BA5"/>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4">
        <v>0</v>
      </c>
      <c r="AG6" s="10"/>
      <c r="AH6" s="12" t="s">
        <v>11</v>
      </c>
      <c r="AI6" s="15" t="s">
        <v>13</v>
      </c>
      <c r="AJ6" s="14">
        <v>0</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row>
    <row r="10" spans="1:53" ht="15" customHeight="1">
      <c r="A10" s="11"/>
      <c r="B10" s="12" t="s">
        <v>7</v>
      </c>
      <c r="C10" s="13">
        <v>0</v>
      </c>
      <c r="D10" s="14"/>
      <c r="E10" s="10"/>
      <c r="F10" s="12" t="s">
        <v>7</v>
      </c>
      <c r="G10" s="13">
        <v>0</v>
      </c>
      <c r="H10" s="14"/>
      <c r="I10" s="10"/>
      <c r="J10" s="12" t="s">
        <v>7</v>
      </c>
      <c r="K10" s="13">
        <v>0</v>
      </c>
      <c r="L10" s="14"/>
      <c r="M10" s="10"/>
      <c r="N10" s="12" t="s">
        <v>7</v>
      </c>
      <c r="O10" s="13">
        <v>0</v>
      </c>
      <c r="P10" s="14"/>
      <c r="Q10" s="10"/>
      <c r="R10" s="12" t="s">
        <v>7</v>
      </c>
      <c r="S10" s="13">
        <v>0</v>
      </c>
      <c r="T10" s="14"/>
      <c r="U10" s="10"/>
      <c r="V10" s="12" t="s">
        <v>7</v>
      </c>
      <c r="W10" s="13">
        <v>0</v>
      </c>
      <c r="X10" s="14"/>
      <c r="Y10" s="10"/>
      <c r="Z10" s="12" t="s">
        <v>7</v>
      </c>
      <c r="AA10" s="13">
        <v>0</v>
      </c>
      <c r="AB10" s="14"/>
      <c r="AC10" s="10"/>
      <c r="AD10" s="12" t="s">
        <v>7</v>
      </c>
      <c r="AE10" s="13">
        <v>0</v>
      </c>
      <c r="AF10" s="14"/>
      <c r="AG10" s="10"/>
      <c r="AH10" s="12" t="s">
        <v>7</v>
      </c>
      <c r="AI10" s="13">
        <v>0</v>
      </c>
      <c r="AJ10" s="14"/>
      <c r="AK10" s="10"/>
      <c r="AL10" s="12" t="s">
        <v>7</v>
      </c>
      <c r="AM10" s="13">
        <v>0</v>
      </c>
      <c r="AN10" s="14"/>
      <c r="AO10" s="10"/>
      <c r="AP10" s="12" t="s">
        <v>7</v>
      </c>
      <c r="AQ10" s="13">
        <v>0</v>
      </c>
      <c r="AR10" s="14"/>
      <c r="AS10" s="10"/>
      <c r="AT10" s="12" t="s">
        <v>7</v>
      </c>
      <c r="AU10" s="13">
        <v>0</v>
      </c>
      <c r="AV10" s="14"/>
      <c r="AW10" s="10"/>
      <c r="AX10" s="12" t="s">
        <v>7</v>
      </c>
      <c r="AY10" s="13">
        <v>0</v>
      </c>
      <c r="AZ10" s="14"/>
      <c r="BA10"/>
    </row>
    <row r="11" spans="1:53" ht="15" customHeight="1">
      <c r="A11" s="11"/>
      <c r="B11" s="12" t="s">
        <v>6</v>
      </c>
      <c r="C11" s="15">
        <v>0</v>
      </c>
      <c r="D11" s="14"/>
      <c r="E11" s="10"/>
      <c r="F11" s="12" t="s">
        <v>6</v>
      </c>
      <c r="G11" s="15">
        <v>0</v>
      </c>
      <c r="H11" s="14"/>
      <c r="I11" s="10"/>
      <c r="J11" s="12" t="s">
        <v>6</v>
      </c>
      <c r="K11" s="15">
        <v>0</v>
      </c>
      <c r="L11" s="14"/>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15">
        <v>0</v>
      </c>
      <c r="AJ11" s="14"/>
      <c r="AK11" s="10"/>
      <c r="AL11" s="12" t="s">
        <v>6</v>
      </c>
      <c r="AM11" s="15">
        <v>0</v>
      </c>
      <c r="AN11" s="14"/>
      <c r="AO11" s="10"/>
      <c r="AP11" s="12" t="s">
        <v>6</v>
      </c>
      <c r="AQ11" s="15">
        <v>0</v>
      </c>
      <c r="AR11" s="14"/>
      <c r="AS11" s="10"/>
      <c r="AT11" s="12" t="s">
        <v>6</v>
      </c>
      <c r="AU11" s="15">
        <v>0</v>
      </c>
      <c r="AV11" s="14"/>
      <c r="AW11" s="10"/>
      <c r="AX11" s="12" t="s">
        <v>6</v>
      </c>
      <c r="AY11" s="15">
        <v>0</v>
      </c>
      <c r="AZ11" s="14"/>
      <c r="BA11"/>
    </row>
    <row r="12" spans="1:53" ht="15" customHeight="1">
      <c r="A12" s="11"/>
      <c r="B12" s="12" t="s">
        <v>5</v>
      </c>
      <c r="C12" s="13" t="s">
        <v>4</v>
      </c>
      <c r="D12" s="14"/>
      <c r="E12" s="10"/>
      <c r="F12" s="12" t="s">
        <v>5</v>
      </c>
      <c r="G12" s="13" t="s">
        <v>4</v>
      </c>
      <c r="H12" s="14"/>
      <c r="I12" s="10"/>
      <c r="J12" s="12" t="s">
        <v>5</v>
      </c>
      <c r="K12" s="13" t="s">
        <v>4</v>
      </c>
      <c r="L12" s="14"/>
      <c r="M12" s="10"/>
      <c r="N12" s="12" t="s">
        <v>5</v>
      </c>
      <c r="O12" s="13" t="s">
        <v>4</v>
      </c>
      <c r="P12" s="14"/>
      <c r="Q12" s="10"/>
      <c r="R12" s="12" t="s">
        <v>5</v>
      </c>
      <c r="S12" s="13" t="s">
        <v>4</v>
      </c>
      <c r="T12" s="14"/>
      <c r="U12" s="10"/>
      <c r="V12" s="12" t="s">
        <v>5</v>
      </c>
      <c r="W12" s="13" t="s">
        <v>4</v>
      </c>
      <c r="X12" s="14"/>
      <c r="Y12" s="10"/>
      <c r="Z12" s="12" t="s">
        <v>5</v>
      </c>
      <c r="AA12" s="13" t="s">
        <v>4</v>
      </c>
      <c r="AB12" s="14"/>
      <c r="AC12" s="10"/>
      <c r="AD12" s="12" t="s">
        <v>5</v>
      </c>
      <c r="AE12" s="13" t="s">
        <v>4</v>
      </c>
      <c r="AF12" s="14"/>
      <c r="AG12" s="10"/>
      <c r="AH12" s="12" t="s">
        <v>5</v>
      </c>
      <c r="AI12" s="13" t="s">
        <v>4</v>
      </c>
      <c r="AJ12" s="14"/>
      <c r="AK12" s="10"/>
      <c r="AL12" s="12" t="s">
        <v>5</v>
      </c>
      <c r="AM12" s="13" t="s">
        <v>4</v>
      </c>
      <c r="AN12" s="14"/>
      <c r="AO12" s="10"/>
      <c r="AP12" s="12" t="s">
        <v>5</v>
      </c>
      <c r="AQ12" s="13" t="s">
        <v>4</v>
      </c>
      <c r="AR12" s="14"/>
      <c r="AS12" s="10"/>
      <c r="AT12" s="12" t="s">
        <v>5</v>
      </c>
      <c r="AU12" s="13" t="s">
        <v>4</v>
      </c>
      <c r="AV12" s="14"/>
      <c r="AW12" s="10"/>
      <c r="AX12" s="12" t="s">
        <v>5</v>
      </c>
      <c r="AY12" s="13" t="s">
        <v>4</v>
      </c>
      <c r="AZ12" s="14"/>
      <c r="BA12"/>
    </row>
    <row r="13" spans="1:53" ht="15" customHeight="1">
      <c r="A13" s="11"/>
      <c r="B13" s="12" t="s">
        <v>11</v>
      </c>
      <c r="C13" s="15" t="s">
        <v>13</v>
      </c>
      <c r="D13" s="14">
        <v>0</v>
      </c>
      <c r="E13" s="9"/>
      <c r="F13" s="12" t="s">
        <v>11</v>
      </c>
      <c r="G13" s="15" t="s">
        <v>13</v>
      </c>
      <c r="H13" s="14">
        <v>0</v>
      </c>
      <c r="I13" s="10"/>
      <c r="J13" s="12" t="s">
        <v>11</v>
      </c>
      <c r="K13" s="15" t="s">
        <v>13</v>
      </c>
      <c r="L13" s="14">
        <v>0</v>
      </c>
      <c r="M13" s="10"/>
      <c r="N13" s="12" t="s">
        <v>11</v>
      </c>
      <c r="O13" s="15" t="s">
        <v>13</v>
      </c>
      <c r="P13" s="14">
        <v>0</v>
      </c>
      <c r="Q13" s="10"/>
      <c r="R13" s="12" t="s">
        <v>11</v>
      </c>
      <c r="S13" s="15" t="s">
        <v>13</v>
      </c>
      <c r="T13" s="14">
        <v>0</v>
      </c>
      <c r="U13" s="10"/>
      <c r="V13" s="12" t="s">
        <v>11</v>
      </c>
      <c r="W13" s="15" t="s">
        <v>13</v>
      </c>
      <c r="X13" s="14">
        <v>0</v>
      </c>
      <c r="Y13" s="10"/>
      <c r="Z13" s="12" t="s">
        <v>11</v>
      </c>
      <c r="AA13" s="15" t="s">
        <v>13</v>
      </c>
      <c r="AB13" s="14">
        <v>0</v>
      </c>
      <c r="AC13" s="10"/>
      <c r="AD13" s="12" t="s">
        <v>11</v>
      </c>
      <c r="AE13" s="15" t="s">
        <v>13</v>
      </c>
      <c r="AF13" s="14">
        <v>0</v>
      </c>
      <c r="AG13" s="10"/>
      <c r="AH13" s="12" t="s">
        <v>11</v>
      </c>
      <c r="AI13" s="15" t="s">
        <v>13</v>
      </c>
      <c r="AJ13" s="14">
        <v>0</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row>
    <row r="14" spans="1:53" ht="15" customHeight="1">
      <c r="A14" s="11"/>
      <c r="B14" s="12" t="s">
        <v>12</v>
      </c>
      <c r="C14" s="15" t="s">
        <v>13</v>
      </c>
      <c r="D14" s="16">
        <v>0</v>
      </c>
      <c r="E14" s="9"/>
      <c r="F14" s="12" t="s">
        <v>12</v>
      </c>
      <c r="G14" s="15" t="s">
        <v>13</v>
      </c>
      <c r="H14" s="14">
        <v>0</v>
      </c>
      <c r="I14" s="10"/>
      <c r="J14" s="12" t="s">
        <v>12</v>
      </c>
      <c r="K14" s="15" t="s">
        <v>13</v>
      </c>
      <c r="L14" s="14">
        <v>0</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4">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row>
    <row r="15" spans="1:53" ht="15" customHeight="1">
      <c r="A15" s="11"/>
      <c r="B15" s="12" t="s">
        <v>14</v>
      </c>
      <c r="C15" s="15" t="s">
        <v>13</v>
      </c>
      <c r="D15" s="14">
        <v>0</v>
      </c>
      <c r="E15" s="9"/>
      <c r="F15" s="12" t="s">
        <v>14</v>
      </c>
      <c r="G15" s="15" t="s">
        <v>13</v>
      </c>
      <c r="H15" s="14">
        <v>0</v>
      </c>
      <c r="I15" s="10"/>
      <c r="J15" s="12" t="s">
        <v>14</v>
      </c>
      <c r="K15" s="15" t="s">
        <v>13</v>
      </c>
      <c r="L15" s="14">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row>
    <row r="16" spans="1:53" s="20" customFormat="1" ht="5.0999999999999996" customHeight="1">
      <c r="A16" s="17"/>
      <c r="B16" s="18"/>
      <c r="C16" s="18"/>
      <c r="D16" s="18"/>
      <c r="E16" s="19"/>
      <c r="F16" s="18"/>
      <c r="G16" s="18"/>
      <c r="H16" s="18"/>
      <c r="I16" s="19"/>
      <c r="J16" s="18"/>
      <c r="K16" s="18"/>
      <c r="L16" s="18"/>
      <c r="M16" s="19"/>
      <c r="N16" s="18"/>
      <c r="O16" s="18"/>
      <c r="P16" s="18"/>
      <c r="Q16" s="19"/>
      <c r="R16" s="18"/>
      <c r="S16" s="18"/>
      <c r="T16" s="18"/>
      <c r="U16" s="19"/>
      <c r="V16" s="18"/>
      <c r="W16" s="18"/>
      <c r="X16" s="18"/>
      <c r="Y16" s="19"/>
      <c r="Z16" s="18"/>
      <c r="AA16" s="18"/>
      <c r="AB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row>
    <row r="17" spans="1:53" ht="15" customHeight="1">
      <c r="A17" s="11"/>
      <c r="B17" s="12" t="s">
        <v>7</v>
      </c>
      <c r="C17" s="13">
        <v>0</v>
      </c>
      <c r="D17" s="14"/>
      <c r="E17" s="10"/>
      <c r="F17" s="12" t="s">
        <v>7</v>
      </c>
      <c r="G17" s="13">
        <v>0</v>
      </c>
      <c r="H17" s="14"/>
      <c r="I17" s="10"/>
      <c r="J17" s="12" t="s">
        <v>7</v>
      </c>
      <c r="K17" s="13">
        <v>0</v>
      </c>
      <c r="L17" s="14"/>
      <c r="M17" s="10"/>
      <c r="N17" s="12" t="s">
        <v>7</v>
      </c>
      <c r="O17" s="13">
        <v>0</v>
      </c>
      <c r="P17" s="14"/>
      <c r="Q17" s="10"/>
      <c r="R17" s="12" t="s">
        <v>7</v>
      </c>
      <c r="S17" s="13">
        <v>0</v>
      </c>
      <c r="T17" s="14"/>
      <c r="U17" s="10"/>
      <c r="V17" s="12" t="s">
        <v>7</v>
      </c>
      <c r="W17" s="13">
        <v>0</v>
      </c>
      <c r="X17" s="14"/>
      <c r="Y17" s="10"/>
      <c r="Z17" s="12" t="s">
        <v>7</v>
      </c>
      <c r="AA17" s="13">
        <v>0</v>
      </c>
      <c r="AB17" s="14"/>
      <c r="AC17" s="10"/>
      <c r="AD17" s="12" t="s">
        <v>7</v>
      </c>
      <c r="AE17" s="13">
        <v>0</v>
      </c>
      <c r="AF17" s="14"/>
      <c r="AG17" s="10"/>
      <c r="AH17" s="12" t="s">
        <v>7</v>
      </c>
      <c r="AI17" s="13">
        <v>0</v>
      </c>
      <c r="AJ17" s="14"/>
      <c r="AK17" s="10"/>
      <c r="AL17" s="12" t="s">
        <v>7</v>
      </c>
      <c r="AM17" s="13">
        <v>0</v>
      </c>
      <c r="AN17" s="14"/>
      <c r="AO17" s="10"/>
      <c r="AP17" s="12" t="s">
        <v>7</v>
      </c>
      <c r="AQ17" s="13">
        <v>0</v>
      </c>
      <c r="AR17" s="14"/>
      <c r="AS17" s="10"/>
      <c r="AT17" s="12" t="s">
        <v>7</v>
      </c>
      <c r="AU17" s="13">
        <v>0</v>
      </c>
      <c r="AV17" s="14"/>
      <c r="AW17" s="10"/>
      <c r="AX17" s="12" t="s">
        <v>7</v>
      </c>
      <c r="AY17" s="13">
        <v>0</v>
      </c>
      <c r="AZ17" s="14"/>
      <c r="BA17"/>
    </row>
    <row r="18" spans="1:53" ht="15" customHeight="1">
      <c r="A18" s="11"/>
      <c r="B18" s="12" t="s">
        <v>6</v>
      </c>
      <c r="C18" s="15">
        <v>0</v>
      </c>
      <c r="D18" s="14"/>
      <c r="E18" s="10"/>
      <c r="F18" s="12" t="s">
        <v>6</v>
      </c>
      <c r="G18" s="15">
        <v>0</v>
      </c>
      <c r="H18" s="14"/>
      <c r="I18" s="10"/>
      <c r="J18" s="12" t="s">
        <v>6</v>
      </c>
      <c r="K18" s="15">
        <v>0</v>
      </c>
      <c r="L18" s="14"/>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15">
        <v>0</v>
      </c>
      <c r="AJ18" s="14"/>
      <c r="AK18" s="10"/>
      <c r="AL18" s="12" t="s">
        <v>6</v>
      </c>
      <c r="AM18" s="15">
        <v>0</v>
      </c>
      <c r="AN18" s="14"/>
      <c r="AO18" s="10"/>
      <c r="AP18" s="12" t="s">
        <v>6</v>
      </c>
      <c r="AQ18" s="15">
        <v>0</v>
      </c>
      <c r="AR18" s="14"/>
      <c r="AS18" s="10"/>
      <c r="AT18" s="12" t="s">
        <v>6</v>
      </c>
      <c r="AU18" s="15">
        <v>0</v>
      </c>
      <c r="AV18" s="14"/>
      <c r="AW18" s="10"/>
      <c r="AX18" s="12" t="s">
        <v>6</v>
      </c>
      <c r="AY18" s="15">
        <v>0</v>
      </c>
      <c r="AZ18" s="14"/>
      <c r="BA18"/>
    </row>
    <row r="19" spans="1:53" ht="15" customHeight="1">
      <c r="A19" s="11"/>
      <c r="B19" s="12" t="s">
        <v>5</v>
      </c>
      <c r="C19" s="13" t="s">
        <v>4</v>
      </c>
      <c r="D19" s="14"/>
      <c r="E19" s="10"/>
      <c r="F19" s="12" t="s">
        <v>5</v>
      </c>
      <c r="G19" s="13" t="s">
        <v>4</v>
      </c>
      <c r="H19" s="14"/>
      <c r="I19" s="10"/>
      <c r="J19" s="12" t="s">
        <v>5</v>
      </c>
      <c r="K19" s="13" t="s">
        <v>4</v>
      </c>
      <c r="L19" s="14"/>
      <c r="M19" s="10"/>
      <c r="N19" s="12" t="s">
        <v>5</v>
      </c>
      <c r="O19" s="13" t="s">
        <v>4</v>
      </c>
      <c r="P19" s="14"/>
      <c r="Q19" s="10"/>
      <c r="R19" s="12" t="s">
        <v>5</v>
      </c>
      <c r="S19" s="13" t="s">
        <v>4</v>
      </c>
      <c r="T19" s="14"/>
      <c r="U19" s="10"/>
      <c r="V19" s="12" t="s">
        <v>5</v>
      </c>
      <c r="W19" s="13" t="s">
        <v>4</v>
      </c>
      <c r="X19" s="14"/>
      <c r="Y19" s="10"/>
      <c r="Z19" s="12" t="s">
        <v>5</v>
      </c>
      <c r="AA19" s="13" t="s">
        <v>4</v>
      </c>
      <c r="AB19" s="14"/>
      <c r="AC19" s="10"/>
      <c r="AD19" s="12" t="s">
        <v>5</v>
      </c>
      <c r="AE19" s="13" t="s">
        <v>4</v>
      </c>
      <c r="AF19" s="14"/>
      <c r="AG19" s="10"/>
      <c r="AH19" s="12" t="s">
        <v>5</v>
      </c>
      <c r="AI19" s="13" t="s">
        <v>4</v>
      </c>
      <c r="AJ19" s="14"/>
      <c r="AK19" s="10"/>
      <c r="AL19" s="12" t="s">
        <v>5</v>
      </c>
      <c r="AM19" s="13" t="s">
        <v>4</v>
      </c>
      <c r="AN19" s="14"/>
      <c r="AO19" s="10"/>
      <c r="AP19" s="12" t="s">
        <v>5</v>
      </c>
      <c r="AQ19" s="13" t="s">
        <v>4</v>
      </c>
      <c r="AR19" s="14"/>
      <c r="AS19" s="10"/>
      <c r="AT19" s="12" t="s">
        <v>5</v>
      </c>
      <c r="AU19" s="13" t="s">
        <v>4</v>
      </c>
      <c r="AV19" s="14"/>
      <c r="AW19" s="10"/>
      <c r="AX19" s="12" t="s">
        <v>5</v>
      </c>
      <c r="AY19" s="13" t="s">
        <v>4</v>
      </c>
      <c r="AZ19" s="14"/>
      <c r="BA19"/>
    </row>
    <row r="20" spans="1:53" ht="15" customHeight="1">
      <c r="A20" s="11"/>
      <c r="B20" s="12" t="s">
        <v>11</v>
      </c>
      <c r="C20" s="15" t="s">
        <v>13</v>
      </c>
      <c r="D20" s="14">
        <v>0</v>
      </c>
      <c r="E20" s="9"/>
      <c r="F20" s="12" t="s">
        <v>11</v>
      </c>
      <c r="G20" s="15" t="s">
        <v>13</v>
      </c>
      <c r="H20" s="14">
        <v>0</v>
      </c>
      <c r="I20" s="10"/>
      <c r="J20" s="12" t="s">
        <v>11</v>
      </c>
      <c r="K20" s="15" t="s">
        <v>13</v>
      </c>
      <c r="L20" s="14">
        <v>0</v>
      </c>
      <c r="M20" s="10"/>
      <c r="N20" s="12" t="s">
        <v>11</v>
      </c>
      <c r="O20" s="15" t="s">
        <v>13</v>
      </c>
      <c r="P20" s="14">
        <v>0</v>
      </c>
      <c r="Q20" s="10"/>
      <c r="R20" s="12" t="s">
        <v>11</v>
      </c>
      <c r="S20" s="15" t="s">
        <v>13</v>
      </c>
      <c r="T20" s="14">
        <v>0</v>
      </c>
      <c r="U20" s="10"/>
      <c r="V20" s="12" t="s">
        <v>11</v>
      </c>
      <c r="W20" s="15" t="s">
        <v>13</v>
      </c>
      <c r="X20" s="14">
        <v>0</v>
      </c>
      <c r="Y20" s="10"/>
      <c r="Z20" s="12" t="s">
        <v>11</v>
      </c>
      <c r="AA20" s="15" t="s">
        <v>13</v>
      </c>
      <c r="AB20" s="14">
        <v>0</v>
      </c>
      <c r="AC20" s="10"/>
      <c r="AD20" s="12" t="s">
        <v>11</v>
      </c>
      <c r="AE20" s="15" t="s">
        <v>13</v>
      </c>
      <c r="AF20" s="14">
        <v>0</v>
      </c>
      <c r="AG20" s="10"/>
      <c r="AH20" s="12" t="s">
        <v>11</v>
      </c>
      <c r="AI20" s="15" t="s">
        <v>13</v>
      </c>
      <c r="AJ20" s="14">
        <v>0</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row>
    <row r="21" spans="1:53" ht="15" customHeight="1">
      <c r="A21" s="11"/>
      <c r="B21" s="12" t="s">
        <v>12</v>
      </c>
      <c r="C21" s="15" t="s">
        <v>13</v>
      </c>
      <c r="D21" s="16">
        <v>0</v>
      </c>
      <c r="E21" s="9"/>
      <c r="F21" s="12" t="s">
        <v>12</v>
      </c>
      <c r="G21" s="15" t="s">
        <v>13</v>
      </c>
      <c r="H21" s="14">
        <v>0</v>
      </c>
      <c r="I21" s="10"/>
      <c r="J21" s="12" t="s">
        <v>12</v>
      </c>
      <c r="K21" s="15" t="s">
        <v>13</v>
      </c>
      <c r="L21" s="14">
        <v>0</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15" t="s">
        <v>13</v>
      </c>
      <c r="AJ21" s="14">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row>
    <row r="22" spans="1:53" ht="15" customHeight="1">
      <c r="A22" s="11"/>
      <c r="B22" s="12" t="s">
        <v>14</v>
      </c>
      <c r="C22" s="15" t="s">
        <v>13</v>
      </c>
      <c r="D22" s="14">
        <v>0</v>
      </c>
      <c r="E22" s="9"/>
      <c r="F22" s="12" t="s">
        <v>14</v>
      </c>
      <c r="G22" s="15" t="s">
        <v>13</v>
      </c>
      <c r="H22" s="14">
        <v>0</v>
      </c>
      <c r="I22" s="10"/>
      <c r="J22" s="12" t="s">
        <v>14</v>
      </c>
      <c r="K22" s="15" t="s">
        <v>13</v>
      </c>
      <c r="L22" s="14">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15" t="s">
        <v>13</v>
      </c>
      <c r="AJ22" s="14">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row>
    <row r="23" spans="1:53" s="20" customFormat="1" ht="5.0999999999999996" customHeight="1">
      <c r="A23" s="17"/>
      <c r="B23" s="18"/>
      <c r="C23" s="18"/>
      <c r="D23" s="18"/>
      <c r="E23" s="19"/>
      <c r="F23" s="18"/>
      <c r="G23" s="18"/>
      <c r="H23" s="18"/>
      <c r="I23" s="19"/>
      <c r="J23" s="18"/>
      <c r="K23" s="18"/>
      <c r="L23" s="18"/>
      <c r="M23" s="19"/>
      <c r="N23" s="18"/>
      <c r="O23" s="18"/>
      <c r="P23" s="18"/>
      <c r="Q23" s="19"/>
      <c r="R23" s="18"/>
      <c r="S23" s="18"/>
      <c r="T23" s="18"/>
      <c r="U23" s="19"/>
      <c r="V23" s="18"/>
      <c r="W23" s="18"/>
      <c r="X23" s="18"/>
      <c r="Y23" s="19"/>
      <c r="Z23" s="18"/>
      <c r="AA23" s="18"/>
      <c r="AB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row>
    <row r="24" spans="1:53" ht="15" customHeight="1">
      <c r="A24" s="11"/>
      <c r="B24" s="12" t="s">
        <v>7</v>
      </c>
      <c r="C24" s="13">
        <v>0</v>
      </c>
      <c r="D24" s="14"/>
      <c r="E24" s="10"/>
      <c r="F24" s="12" t="s">
        <v>7</v>
      </c>
      <c r="G24" s="13">
        <v>0</v>
      </c>
      <c r="H24" s="14"/>
      <c r="I24" s="10"/>
      <c r="J24" s="12" t="s">
        <v>7</v>
      </c>
      <c r="K24" s="13">
        <v>0</v>
      </c>
      <c r="L24" s="14"/>
      <c r="M24" s="10"/>
      <c r="N24" s="12" t="s">
        <v>7</v>
      </c>
      <c r="O24" s="13">
        <v>0</v>
      </c>
      <c r="P24" s="14"/>
      <c r="Q24" s="10"/>
      <c r="R24" s="12" t="s">
        <v>7</v>
      </c>
      <c r="S24" s="13">
        <v>0</v>
      </c>
      <c r="T24" s="14"/>
      <c r="U24" s="10"/>
      <c r="V24" s="12" t="s">
        <v>7</v>
      </c>
      <c r="W24" s="13">
        <v>0</v>
      </c>
      <c r="X24" s="14"/>
      <c r="Y24" s="10"/>
      <c r="Z24" s="12" t="s">
        <v>7</v>
      </c>
      <c r="AA24" s="13">
        <v>0</v>
      </c>
      <c r="AB24" s="14"/>
      <c r="AC24" s="10"/>
      <c r="AD24" s="12" t="s">
        <v>7</v>
      </c>
      <c r="AE24" s="13">
        <v>0</v>
      </c>
      <c r="AF24" s="14"/>
      <c r="AG24" s="10"/>
      <c r="AH24" s="12" t="s">
        <v>7</v>
      </c>
      <c r="AI24" s="13">
        <v>0</v>
      </c>
      <c r="AJ24" s="14"/>
      <c r="AK24" s="10"/>
      <c r="AL24" s="12" t="s">
        <v>7</v>
      </c>
      <c r="AM24" s="13">
        <v>0</v>
      </c>
      <c r="AN24" s="14"/>
      <c r="AO24" s="10"/>
      <c r="AP24" s="12" t="s">
        <v>7</v>
      </c>
      <c r="AQ24" s="13">
        <v>0</v>
      </c>
      <c r="AR24" s="14"/>
      <c r="AS24" s="10"/>
      <c r="AT24" s="12" t="s">
        <v>7</v>
      </c>
      <c r="AU24" s="13">
        <v>0</v>
      </c>
      <c r="AV24" s="14"/>
      <c r="AW24" s="10"/>
      <c r="AX24" s="12" t="s">
        <v>7</v>
      </c>
      <c r="AY24" s="13">
        <v>0</v>
      </c>
      <c r="AZ24" s="14"/>
      <c r="BA24"/>
    </row>
    <row r="25" spans="1:53" ht="15" customHeight="1">
      <c r="A25" s="11"/>
      <c r="B25" s="12" t="s">
        <v>6</v>
      </c>
      <c r="C25" s="15">
        <v>0</v>
      </c>
      <c r="D25" s="14"/>
      <c r="E25" s="10"/>
      <c r="F25" s="12" t="s">
        <v>6</v>
      </c>
      <c r="G25" s="15">
        <v>0</v>
      </c>
      <c r="H25" s="14"/>
      <c r="I25" s="10"/>
      <c r="J25" s="12" t="s">
        <v>6</v>
      </c>
      <c r="K25" s="15">
        <v>0</v>
      </c>
      <c r="L25" s="14"/>
      <c r="M25" s="10"/>
      <c r="N25" s="12" t="s">
        <v>6</v>
      </c>
      <c r="O25" s="15">
        <v>0</v>
      </c>
      <c r="P25" s="14"/>
      <c r="Q25" s="10"/>
      <c r="R25" s="12" t="s">
        <v>6</v>
      </c>
      <c r="S25" s="15">
        <v>0</v>
      </c>
      <c r="T25" s="14"/>
      <c r="U25" s="10"/>
      <c r="V25" s="12" t="s">
        <v>6</v>
      </c>
      <c r="W25" s="15">
        <v>0</v>
      </c>
      <c r="X25" s="14"/>
      <c r="Y25" s="10"/>
      <c r="Z25" s="12" t="s">
        <v>6</v>
      </c>
      <c r="AA25" s="15">
        <v>0</v>
      </c>
      <c r="AB25" s="14"/>
      <c r="AC25" s="10"/>
      <c r="AD25" s="12" t="s">
        <v>6</v>
      </c>
      <c r="AE25" s="15">
        <v>0</v>
      </c>
      <c r="AF25" s="14"/>
      <c r="AG25" s="10"/>
      <c r="AH25" s="12" t="s">
        <v>6</v>
      </c>
      <c r="AI25" s="15">
        <v>0</v>
      </c>
      <c r="AJ25" s="14"/>
      <c r="AK25" s="10"/>
      <c r="AL25" s="12" t="s">
        <v>6</v>
      </c>
      <c r="AM25" s="15">
        <v>0</v>
      </c>
      <c r="AN25" s="14"/>
      <c r="AO25" s="10"/>
      <c r="AP25" s="12" t="s">
        <v>6</v>
      </c>
      <c r="AQ25" s="15">
        <v>0</v>
      </c>
      <c r="AR25" s="14"/>
      <c r="AS25" s="10"/>
      <c r="AT25" s="12" t="s">
        <v>6</v>
      </c>
      <c r="AU25" s="15">
        <v>0</v>
      </c>
      <c r="AV25" s="14"/>
      <c r="AW25" s="10"/>
      <c r="AX25" s="12" t="s">
        <v>6</v>
      </c>
      <c r="AY25" s="15">
        <v>0</v>
      </c>
      <c r="AZ25" s="14"/>
      <c r="BA25"/>
    </row>
    <row r="26" spans="1:53" ht="15" customHeight="1">
      <c r="A26" s="11"/>
      <c r="B26" s="12" t="s">
        <v>5</v>
      </c>
      <c r="C26" s="13" t="s">
        <v>4</v>
      </c>
      <c r="D26" s="14"/>
      <c r="E26" s="10"/>
      <c r="F26" s="12" t="s">
        <v>5</v>
      </c>
      <c r="G26" s="13" t="s">
        <v>4</v>
      </c>
      <c r="H26" s="14"/>
      <c r="I26" s="10"/>
      <c r="J26" s="12" t="s">
        <v>5</v>
      </c>
      <c r="K26" s="13" t="s">
        <v>4</v>
      </c>
      <c r="L26" s="14"/>
      <c r="M26" s="10"/>
      <c r="N26" s="12" t="s">
        <v>5</v>
      </c>
      <c r="O26" s="13" t="s">
        <v>4</v>
      </c>
      <c r="P26" s="14"/>
      <c r="Q26" s="10"/>
      <c r="R26" s="12" t="s">
        <v>5</v>
      </c>
      <c r="S26" s="13" t="s">
        <v>4</v>
      </c>
      <c r="T26" s="14"/>
      <c r="U26" s="10"/>
      <c r="V26" s="12" t="s">
        <v>5</v>
      </c>
      <c r="W26" s="13" t="s">
        <v>4</v>
      </c>
      <c r="X26" s="14"/>
      <c r="Y26" s="10"/>
      <c r="Z26" s="12" t="s">
        <v>5</v>
      </c>
      <c r="AA26" s="13" t="s">
        <v>4</v>
      </c>
      <c r="AB26" s="14"/>
      <c r="AC26" s="10"/>
      <c r="AD26" s="12" t="s">
        <v>5</v>
      </c>
      <c r="AE26" s="13" t="s">
        <v>4</v>
      </c>
      <c r="AF26" s="14"/>
      <c r="AG26" s="10"/>
      <c r="AH26" s="12" t="s">
        <v>5</v>
      </c>
      <c r="AI26" s="13" t="s">
        <v>4</v>
      </c>
      <c r="AJ26" s="14"/>
      <c r="AK26" s="10"/>
      <c r="AL26" s="12" t="s">
        <v>5</v>
      </c>
      <c r="AM26" s="13" t="s">
        <v>4</v>
      </c>
      <c r="AN26" s="14"/>
      <c r="AO26" s="10"/>
      <c r="AP26" s="12" t="s">
        <v>5</v>
      </c>
      <c r="AQ26" s="13" t="s">
        <v>4</v>
      </c>
      <c r="AR26" s="14"/>
      <c r="AS26" s="10"/>
      <c r="AT26" s="12" t="s">
        <v>5</v>
      </c>
      <c r="AU26" s="13" t="s">
        <v>4</v>
      </c>
      <c r="AV26" s="14"/>
      <c r="AW26" s="10"/>
      <c r="AX26" s="12" t="s">
        <v>5</v>
      </c>
      <c r="AY26" s="13" t="s">
        <v>4</v>
      </c>
      <c r="AZ26" s="14"/>
      <c r="BA26"/>
    </row>
    <row r="27" spans="1:53" ht="15" customHeight="1">
      <c r="A27" s="11"/>
      <c r="B27" s="12" t="s">
        <v>11</v>
      </c>
      <c r="C27" s="15" t="s">
        <v>13</v>
      </c>
      <c r="D27" s="14">
        <v>0</v>
      </c>
      <c r="E27" s="9"/>
      <c r="F27" s="12" t="s">
        <v>11</v>
      </c>
      <c r="G27" s="15" t="s">
        <v>13</v>
      </c>
      <c r="H27" s="14">
        <v>0</v>
      </c>
      <c r="I27" s="10"/>
      <c r="J27" s="12" t="s">
        <v>11</v>
      </c>
      <c r="K27" s="15" t="s">
        <v>13</v>
      </c>
      <c r="L27" s="14">
        <v>0</v>
      </c>
      <c r="M27" s="10"/>
      <c r="N27" s="12" t="s">
        <v>11</v>
      </c>
      <c r="O27" s="15" t="s">
        <v>13</v>
      </c>
      <c r="P27" s="14">
        <v>0</v>
      </c>
      <c r="Q27" s="10"/>
      <c r="R27" s="12" t="s">
        <v>11</v>
      </c>
      <c r="S27" s="15" t="s">
        <v>13</v>
      </c>
      <c r="T27" s="14">
        <v>0</v>
      </c>
      <c r="U27" s="10"/>
      <c r="V27" s="12" t="s">
        <v>11</v>
      </c>
      <c r="W27" s="15" t="s">
        <v>13</v>
      </c>
      <c r="X27" s="14">
        <v>0</v>
      </c>
      <c r="Y27" s="10"/>
      <c r="Z27" s="12" t="s">
        <v>11</v>
      </c>
      <c r="AA27" s="15" t="s">
        <v>13</v>
      </c>
      <c r="AB27" s="14">
        <v>0</v>
      </c>
      <c r="AC27" s="10"/>
      <c r="AD27" s="12" t="s">
        <v>11</v>
      </c>
      <c r="AE27" s="15" t="s">
        <v>13</v>
      </c>
      <c r="AF27" s="14">
        <v>0</v>
      </c>
      <c r="AG27" s="10"/>
      <c r="AH27" s="12" t="s">
        <v>11</v>
      </c>
      <c r="AI27" s="15" t="s">
        <v>13</v>
      </c>
      <c r="AJ27" s="14">
        <v>0</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row>
    <row r="28" spans="1:53" ht="15" customHeight="1">
      <c r="A28" s="11"/>
      <c r="B28" s="12" t="s">
        <v>12</v>
      </c>
      <c r="C28" s="15" t="s">
        <v>13</v>
      </c>
      <c r="D28" s="16">
        <v>0</v>
      </c>
      <c r="E28" s="9"/>
      <c r="F28" s="12" t="s">
        <v>12</v>
      </c>
      <c r="G28" s="15" t="s">
        <v>13</v>
      </c>
      <c r="H28" s="16">
        <v>0</v>
      </c>
      <c r="I28" s="10"/>
      <c r="J28" s="12" t="s">
        <v>12</v>
      </c>
      <c r="K28" s="15" t="s">
        <v>13</v>
      </c>
      <c r="L28" s="16">
        <v>0</v>
      </c>
      <c r="M28" s="10"/>
      <c r="N28" s="12" t="s">
        <v>12</v>
      </c>
      <c r="O28" s="15" t="s">
        <v>13</v>
      </c>
      <c r="P28" s="16">
        <v>0</v>
      </c>
      <c r="Q28" s="10"/>
      <c r="R28" s="12" t="s">
        <v>12</v>
      </c>
      <c r="S28" s="15" t="s">
        <v>13</v>
      </c>
      <c r="T28" s="16">
        <v>0</v>
      </c>
      <c r="U28" s="10"/>
      <c r="V28" s="12" t="s">
        <v>12</v>
      </c>
      <c r="W28" s="15" t="s">
        <v>13</v>
      </c>
      <c r="X28" s="16">
        <v>0</v>
      </c>
      <c r="Y28" s="10"/>
      <c r="Z28" s="12" t="s">
        <v>12</v>
      </c>
      <c r="AA28" s="15" t="s">
        <v>13</v>
      </c>
      <c r="AB28" s="16">
        <v>0</v>
      </c>
      <c r="AC28" s="10"/>
      <c r="AD28" s="12" t="s">
        <v>12</v>
      </c>
      <c r="AE28" s="15" t="s">
        <v>13</v>
      </c>
      <c r="AF28" s="16">
        <v>0</v>
      </c>
      <c r="AG28" s="10"/>
      <c r="AH28" s="12" t="s">
        <v>12</v>
      </c>
      <c r="AI28" s="15" t="s">
        <v>13</v>
      </c>
      <c r="AJ28" s="16">
        <v>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row>
    <row r="29" spans="1:53" ht="15" customHeight="1">
      <c r="A29" s="11"/>
      <c r="B29" s="12" t="s">
        <v>14</v>
      </c>
      <c r="C29" s="15" t="s">
        <v>13</v>
      </c>
      <c r="D29" s="14">
        <v>0</v>
      </c>
      <c r="E29" s="9"/>
      <c r="F29" s="12" t="s">
        <v>14</v>
      </c>
      <c r="G29" s="15" t="s">
        <v>13</v>
      </c>
      <c r="H29" s="14">
        <v>0</v>
      </c>
      <c r="I29" s="10"/>
      <c r="J29" s="12" t="s">
        <v>14</v>
      </c>
      <c r="K29" s="15" t="s">
        <v>13</v>
      </c>
      <c r="L29" s="14">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15" t="s">
        <v>13</v>
      </c>
      <c r="AJ29" s="14">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row>
    <row r="31" spans="1:53" ht="15" customHeight="1">
      <c r="A31" s="11"/>
      <c r="B31" s="12" t="s">
        <v>7</v>
      </c>
      <c r="C31" s="13">
        <v>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13">
        <v>0</v>
      </c>
      <c r="AB31" s="14"/>
      <c r="AC31" s="10"/>
      <c r="AD31" s="12" t="s">
        <v>7</v>
      </c>
      <c r="AE31" s="13">
        <v>0</v>
      </c>
      <c r="AF31" s="14"/>
      <c r="AG31" s="10"/>
      <c r="AH31" s="12" t="s">
        <v>7</v>
      </c>
      <c r="AI31" s="13">
        <v>0</v>
      </c>
      <c r="AJ31" s="14"/>
      <c r="AK31" s="10"/>
      <c r="AL31" s="12" t="s">
        <v>7</v>
      </c>
      <c r="AM31" s="13">
        <v>0</v>
      </c>
      <c r="AN31" s="14"/>
      <c r="AO31" s="10"/>
      <c r="AP31" s="12" t="s">
        <v>7</v>
      </c>
      <c r="AQ31" s="13">
        <v>0</v>
      </c>
      <c r="AR31" s="14"/>
      <c r="AS31" s="10"/>
      <c r="AT31" s="12" t="s">
        <v>7</v>
      </c>
      <c r="AU31" s="13">
        <v>0</v>
      </c>
      <c r="AV31" s="14"/>
      <c r="AW31" s="10"/>
      <c r="AX31" s="12" t="s">
        <v>7</v>
      </c>
      <c r="AY31" s="13">
        <v>0</v>
      </c>
      <c r="AZ31" s="14"/>
      <c r="BA3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15">
        <v>0</v>
      </c>
      <c r="AB32" s="14"/>
      <c r="AC32" s="10"/>
      <c r="AD32" s="12" t="s">
        <v>6</v>
      </c>
      <c r="AE32" s="15">
        <v>0</v>
      </c>
      <c r="AF32" s="14"/>
      <c r="AG32" s="10"/>
      <c r="AH32" s="12" t="s">
        <v>6</v>
      </c>
      <c r="AI32" s="15">
        <v>0</v>
      </c>
      <c r="AJ32" s="14"/>
      <c r="AK32" s="10"/>
      <c r="AL32" s="12" t="s">
        <v>6</v>
      </c>
      <c r="AM32" s="15">
        <v>0</v>
      </c>
      <c r="AN32" s="14"/>
      <c r="AO32" s="10"/>
      <c r="AP32" s="12" t="s">
        <v>6</v>
      </c>
      <c r="AQ32" s="15">
        <v>0</v>
      </c>
      <c r="AR32" s="14"/>
      <c r="AS32" s="10"/>
      <c r="AT32" s="12" t="s">
        <v>6</v>
      </c>
      <c r="AU32" s="15">
        <v>0</v>
      </c>
      <c r="AV32" s="14"/>
      <c r="AW32" s="10"/>
      <c r="AX32" s="12" t="s">
        <v>6</v>
      </c>
      <c r="AY32" s="15">
        <v>0</v>
      </c>
      <c r="AZ32" s="14"/>
      <c r="BA32"/>
    </row>
    <row r="33" spans="1:53" ht="15" customHeight="1">
      <c r="A33" s="11"/>
      <c r="B33" s="12" t="s">
        <v>5</v>
      </c>
      <c r="C33" s="13" t="s">
        <v>4</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13" t="s">
        <v>4</v>
      </c>
      <c r="AB33" s="14"/>
      <c r="AC33" s="10"/>
      <c r="AD33" s="12" t="s">
        <v>5</v>
      </c>
      <c r="AE33" s="13" t="s">
        <v>4</v>
      </c>
      <c r="AF33" s="14"/>
      <c r="AG33" s="10"/>
      <c r="AH33" s="12" t="s">
        <v>5</v>
      </c>
      <c r="AI33" s="13" t="s">
        <v>4</v>
      </c>
      <c r="AJ33" s="14"/>
      <c r="AK33" s="10"/>
      <c r="AL33" s="12" t="s">
        <v>5</v>
      </c>
      <c r="AM33" s="13" t="s">
        <v>4</v>
      </c>
      <c r="AN33" s="14"/>
      <c r="AO33" s="10"/>
      <c r="AP33" s="12" t="s">
        <v>5</v>
      </c>
      <c r="AQ33" s="13" t="s">
        <v>4</v>
      </c>
      <c r="AR33" s="14"/>
      <c r="AS33" s="10"/>
      <c r="AT33" s="12" t="s">
        <v>5</v>
      </c>
      <c r="AU33" s="13" t="s">
        <v>4</v>
      </c>
      <c r="AV33" s="14"/>
      <c r="AW33" s="10"/>
      <c r="AX33" s="12" t="s">
        <v>5</v>
      </c>
      <c r="AY33" s="13" t="s">
        <v>4</v>
      </c>
      <c r="AZ33" s="14"/>
      <c r="BA33"/>
    </row>
    <row r="34" spans="1:53" ht="15" customHeight="1">
      <c r="A34" s="11"/>
      <c r="B34" s="12" t="s">
        <v>11</v>
      </c>
      <c r="C34" s="15" t="s">
        <v>13</v>
      </c>
      <c r="D34" s="14">
        <v>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15" t="s">
        <v>13</v>
      </c>
      <c r="AB34" s="14">
        <v>0</v>
      </c>
      <c r="AC34" s="10"/>
      <c r="AD34" s="12" t="s">
        <v>11</v>
      </c>
      <c r="AE34" s="15" t="s">
        <v>13</v>
      </c>
      <c r="AF34" s="14">
        <v>0</v>
      </c>
      <c r="AG34" s="10"/>
      <c r="AH34" s="12" t="s">
        <v>11</v>
      </c>
      <c r="AI34" s="15" t="s">
        <v>13</v>
      </c>
      <c r="AJ34" s="14">
        <v>0</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row>
    <row r="35" spans="1:53" ht="15" customHeight="1">
      <c r="A35" s="11"/>
      <c r="B35" s="12" t="s">
        <v>12</v>
      </c>
      <c r="C35" s="15" t="s">
        <v>13</v>
      </c>
      <c r="D35" s="16">
        <v>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6">
        <v>0</v>
      </c>
      <c r="AC35" s="10"/>
      <c r="AD35" s="12" t="s">
        <v>12</v>
      </c>
      <c r="AE35" s="15" t="s">
        <v>13</v>
      </c>
      <c r="AF35" s="16">
        <v>0</v>
      </c>
      <c r="AG35" s="10"/>
      <c r="AH35" s="12" t="s">
        <v>12</v>
      </c>
      <c r="AI35" s="15" t="s">
        <v>13</v>
      </c>
      <c r="AJ35" s="16">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row>
    <row r="36" spans="1:53" ht="15" customHeight="1">
      <c r="A36" s="11"/>
      <c r="B36" s="12" t="s">
        <v>14</v>
      </c>
      <c r="C36" s="15" t="s">
        <v>13</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row>
    <row r="38" spans="1:53" ht="15" customHeight="1">
      <c r="A38" s="11"/>
      <c r="B38" s="12" t="s">
        <v>7</v>
      </c>
      <c r="C38" s="13">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13">
        <v>0</v>
      </c>
      <c r="AB38" s="14"/>
      <c r="AC38" s="10"/>
      <c r="AD38" s="12" t="s">
        <v>7</v>
      </c>
      <c r="AE38" s="13">
        <v>0</v>
      </c>
      <c r="AF38" s="14"/>
      <c r="AG38" s="10"/>
      <c r="AH38" s="12" t="s">
        <v>7</v>
      </c>
      <c r="AI38" s="13">
        <v>0</v>
      </c>
      <c r="AJ38" s="14"/>
      <c r="AK38" s="10"/>
      <c r="AL38" s="12" t="s">
        <v>7</v>
      </c>
      <c r="AM38" s="13">
        <v>0</v>
      </c>
      <c r="AN38" s="14"/>
      <c r="AO38" s="10"/>
      <c r="AP38" s="12" t="s">
        <v>7</v>
      </c>
      <c r="AQ38" s="13">
        <v>0</v>
      </c>
      <c r="AR38" s="14"/>
      <c r="AS38" s="10"/>
      <c r="AT38" s="12" t="s">
        <v>7</v>
      </c>
      <c r="AU38" s="13">
        <v>0</v>
      </c>
      <c r="AV38" s="14"/>
      <c r="AW38" s="10"/>
      <c r="AX38" s="12" t="s">
        <v>7</v>
      </c>
      <c r="AY38" s="13">
        <v>0</v>
      </c>
      <c r="AZ38" s="14"/>
      <c r="BA38"/>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15">
        <v>0</v>
      </c>
      <c r="AB39" s="14"/>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row>
    <row r="40" spans="1:53"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13" t="s">
        <v>4</v>
      </c>
      <c r="AB40" s="14"/>
      <c r="AC40" s="10"/>
      <c r="AD40" s="12" t="s">
        <v>5</v>
      </c>
      <c r="AE40" s="13" t="s">
        <v>4</v>
      </c>
      <c r="AF40" s="14"/>
      <c r="AG40" s="10"/>
      <c r="AH40" s="12" t="s">
        <v>5</v>
      </c>
      <c r="AI40" s="13" t="s">
        <v>4</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row>
    <row r="41" spans="1:53" ht="15" customHeight="1">
      <c r="A41" s="11"/>
      <c r="B41" s="12" t="s">
        <v>11</v>
      </c>
      <c r="C41" s="15" t="s">
        <v>13</v>
      </c>
      <c r="D41" s="14">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15" t="s">
        <v>13</v>
      </c>
      <c r="AB41" s="14">
        <v>0</v>
      </c>
      <c r="AC41" s="10"/>
      <c r="AD41" s="12" t="s">
        <v>11</v>
      </c>
      <c r="AE41" s="15" t="s">
        <v>13</v>
      </c>
      <c r="AF41" s="14">
        <v>0</v>
      </c>
      <c r="AG41" s="10"/>
      <c r="AH41" s="12" t="s">
        <v>11</v>
      </c>
      <c r="AI41" s="15" t="s">
        <v>13</v>
      </c>
      <c r="AJ41" s="14">
        <v>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row>
    <row r="42" spans="1:53" ht="15" customHeight="1">
      <c r="A42" s="11"/>
      <c r="B42" s="12" t="s">
        <v>12</v>
      </c>
      <c r="C42" s="15" t="s">
        <v>13</v>
      </c>
      <c r="D42" s="16">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6">
        <v>0</v>
      </c>
      <c r="AC42" s="10"/>
      <c r="AD42" s="12" t="s">
        <v>12</v>
      </c>
      <c r="AE42" s="15" t="s">
        <v>13</v>
      </c>
      <c r="AF42" s="16">
        <v>0</v>
      </c>
      <c r="AG42" s="10"/>
      <c r="AH42" s="12" t="s">
        <v>12</v>
      </c>
      <c r="AI42" s="15" t="s">
        <v>13</v>
      </c>
      <c r="AJ42" s="16">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row>
    <row r="43" spans="1:53" ht="15" customHeight="1">
      <c r="A43" s="11"/>
      <c r="B43" s="12" t="s">
        <v>14</v>
      </c>
      <c r="C43" s="15" t="s">
        <v>13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13">
        <v>0</v>
      </c>
      <c r="AJ45" s="14"/>
      <c r="AK45" s="10"/>
      <c r="AL45" s="12" t="s">
        <v>7</v>
      </c>
      <c r="AM45" s="13">
        <v>0</v>
      </c>
      <c r="AN45" s="14"/>
      <c r="AO45" s="10"/>
      <c r="AP45" s="12" t="s">
        <v>7</v>
      </c>
      <c r="AQ45" s="13">
        <v>0</v>
      </c>
      <c r="AR45" s="14"/>
      <c r="AS45" s="10"/>
      <c r="AT45" s="12" t="s">
        <v>7</v>
      </c>
      <c r="AU45" s="13">
        <v>0</v>
      </c>
      <c r="AV45" s="14"/>
      <c r="AW45" s="10"/>
      <c r="AX45" s="12" t="s">
        <v>7</v>
      </c>
      <c r="AY45" s="13">
        <v>0</v>
      </c>
      <c r="AZ45" s="14"/>
      <c r="BA45"/>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13" t="s">
        <v>4</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15" t="s">
        <v>13</v>
      </c>
      <c r="AJ48" s="14">
        <v>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6">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13">
        <v>0</v>
      </c>
      <c r="AJ52" s="14"/>
      <c r="AK52" s="10"/>
      <c r="AL52" s="12" t="s">
        <v>7</v>
      </c>
      <c r="AM52" s="13">
        <v>0</v>
      </c>
      <c r="AN52" s="14"/>
      <c r="AO52" s="10"/>
      <c r="AP52" s="12" t="s">
        <v>7</v>
      </c>
      <c r="AQ52" s="13">
        <v>0</v>
      </c>
      <c r="AR52" s="14"/>
      <c r="AS52" s="10"/>
      <c r="AT52" s="12" t="s">
        <v>7</v>
      </c>
      <c r="AU52" s="13">
        <v>0</v>
      </c>
      <c r="AV52" s="14"/>
      <c r="AW52" s="10"/>
      <c r="AX52" s="12" t="s">
        <v>7</v>
      </c>
      <c r="AY52" s="13">
        <v>0</v>
      </c>
      <c r="AZ52" s="14"/>
      <c r="BA52"/>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13" t="s">
        <v>4</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15" t="s">
        <v>13</v>
      </c>
      <c r="AJ55" s="14">
        <v>0</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row>
    <row r="65" spans="1:53"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row>
    <row r="66" spans="1:53"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row>
    <row r="67" spans="1:53"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row>
    <row r="68" spans="1:53"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row>
    <row r="69" spans="1:53"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row>
    <row r="70" spans="1:53"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row>
    <row r="71" spans="1:53"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row>
    <row r="72" spans="1:53"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row>
    <row r="73" spans="1:53" ht="15" customHeight="1">
      <c r="A73" s="11"/>
      <c r="B73" s="22" t="s">
        <v>8</v>
      </c>
      <c r="C73" s="23">
        <v>200</v>
      </c>
      <c r="D73" s="24"/>
      <c r="E73" s="25"/>
      <c r="F73" s="22" t="s">
        <v>8</v>
      </c>
      <c r="G73" s="23">
        <v>1000</v>
      </c>
      <c r="H73" s="24"/>
      <c r="I73" s="25"/>
      <c r="J73" s="22" t="s">
        <v>8</v>
      </c>
      <c r="K73" s="23">
        <v>1000</v>
      </c>
      <c r="L73" s="24"/>
      <c r="M73" s="25"/>
      <c r="N73" s="22" t="s">
        <v>8</v>
      </c>
      <c r="O73" s="23">
        <v>1000</v>
      </c>
      <c r="P73" s="24"/>
      <c r="Q73" s="25"/>
      <c r="R73" s="22" t="s">
        <v>8</v>
      </c>
      <c r="S73" s="23">
        <v>0</v>
      </c>
      <c r="T73" s="24"/>
      <c r="U73" s="25"/>
      <c r="V73" s="22" t="s">
        <v>8</v>
      </c>
      <c r="W73" s="23">
        <v>1000</v>
      </c>
      <c r="X73" s="24"/>
      <c r="Y73" s="25"/>
      <c r="Z73" s="22" t="s">
        <v>8</v>
      </c>
      <c r="AA73" s="23">
        <v>1000</v>
      </c>
      <c r="AB73" s="24"/>
      <c r="AC73" s="25"/>
      <c r="AD73" s="22" t="s">
        <v>8</v>
      </c>
      <c r="AE73" s="23">
        <v>1000</v>
      </c>
      <c r="AF73" s="24"/>
      <c r="AG73" s="25"/>
      <c r="AH73" s="22" t="s">
        <v>8</v>
      </c>
      <c r="AI73" s="23">
        <v>1000</v>
      </c>
      <c r="AJ73" s="24"/>
      <c r="AK73" s="25"/>
      <c r="AL73" s="22" t="s">
        <v>8</v>
      </c>
      <c r="AM73" s="23">
        <v>0</v>
      </c>
      <c r="AN73" s="24"/>
      <c r="AO73" s="25"/>
      <c r="AP73" s="22" t="s">
        <v>8</v>
      </c>
      <c r="AQ73" s="23">
        <v>0</v>
      </c>
      <c r="AR73" s="24"/>
      <c r="AS73" s="25"/>
      <c r="AT73" s="22" t="s">
        <v>8</v>
      </c>
      <c r="AU73" s="23">
        <v>0</v>
      </c>
      <c r="AV73" s="24"/>
      <c r="AW73" s="25"/>
      <c r="AX73" s="22" t="s">
        <v>8</v>
      </c>
      <c r="AY73" s="23">
        <v>0</v>
      </c>
      <c r="AZ73" s="24"/>
      <c r="BA73"/>
    </row>
    <row r="74" spans="1:53"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1</v>
      </c>
      <c r="X74" s="28"/>
      <c r="Y74" s="25"/>
      <c r="Z74" s="26" t="s">
        <v>10</v>
      </c>
      <c r="AA74" s="27">
        <v>4</v>
      </c>
      <c r="AB74" s="28"/>
      <c r="AC74" s="25"/>
      <c r="AD74" s="26" t="s">
        <v>10</v>
      </c>
      <c r="AE74" s="27">
        <v>1</v>
      </c>
      <c r="AF74" s="28"/>
      <c r="AG74" s="25"/>
      <c r="AH74" s="26" t="s">
        <v>10</v>
      </c>
      <c r="AI74" s="27">
        <v>4</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row>
    <row r="75" spans="1:53" s="32" customFormat="1" ht="15.7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21</v>
      </c>
      <c r="AN75" s="28"/>
      <c r="AO75" s="31"/>
      <c r="AP75" s="26" t="s">
        <v>18</v>
      </c>
      <c r="AQ75" s="27" t="s">
        <v>21</v>
      </c>
      <c r="AR75" s="28"/>
      <c r="AS75" s="31"/>
      <c r="AT75" s="26" t="s">
        <v>18</v>
      </c>
      <c r="AU75" s="27" t="s">
        <v>21</v>
      </c>
      <c r="AV75" s="28"/>
      <c r="AW75" s="31"/>
      <c r="AX75" s="26" t="s">
        <v>18</v>
      </c>
      <c r="AY75" s="27" t="s">
        <v>21</v>
      </c>
      <c r="AZ75" s="28"/>
      <c r="BA75"/>
    </row>
    <row r="76" spans="1:53" s="7" customFormat="1" ht="15.7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row>
    <row r="77" spans="1:53" s="7" customFormat="1" ht="15.75">
      <c r="A77"/>
      <c r="B77" s="35" t="s">
        <v>119</v>
      </c>
      <c r="C77" s="36" t="s">
        <v>68</v>
      </c>
      <c r="D77" s="4" t="s">
        <v>36</v>
      </c>
      <c r="E77"/>
      <c r="F77" s="35" t="s">
        <v>119</v>
      </c>
      <c r="G77" s="36" t="s">
        <v>132</v>
      </c>
      <c r="H77" s="4" t="s">
        <v>36</v>
      </c>
      <c r="J77" s="35" t="s">
        <v>5</v>
      </c>
      <c r="K77" s="36" t="s">
        <v>33</v>
      </c>
      <c r="L77" s="4" t="s">
        <v>37</v>
      </c>
      <c r="M77"/>
      <c r="N77" s="35" t="s">
        <v>5</v>
      </c>
      <c r="O77" s="36" t="s">
        <v>19</v>
      </c>
      <c r="P77" s="4" t="s">
        <v>37</v>
      </c>
      <c r="Q77"/>
      <c r="R77" s="35" t="s">
        <v>5</v>
      </c>
      <c r="S77" s="36" t="s">
        <v>51</v>
      </c>
      <c r="T77" s="4" t="s">
        <v>37</v>
      </c>
      <c r="U77"/>
      <c r="V77" s="35" t="s">
        <v>5</v>
      </c>
      <c r="W77" s="36" t="s">
        <v>52</v>
      </c>
      <c r="X77" s="4" t="s">
        <v>37</v>
      </c>
      <c r="Y77"/>
      <c r="Z77" s="35" t="s">
        <v>5</v>
      </c>
      <c r="AA77" s="36" t="s">
        <v>53</v>
      </c>
      <c r="AB77" s="4" t="s">
        <v>37</v>
      </c>
      <c r="AC77"/>
      <c r="AD77" s="35" t="s">
        <v>5</v>
      </c>
      <c r="AE77" s="36" t="s">
        <v>143</v>
      </c>
      <c r="AF77" s="4" t="s">
        <v>37</v>
      </c>
      <c r="AG77"/>
      <c r="AH77" s="35" t="s">
        <v>5</v>
      </c>
      <c r="AI77" s="36" t="s">
        <v>144</v>
      </c>
      <c r="AJ77" s="4" t="s">
        <v>36</v>
      </c>
      <c r="AK77"/>
      <c r="AL77" s="35" t="s">
        <v>5</v>
      </c>
      <c r="AM77" s="36" t="s">
        <v>145</v>
      </c>
      <c r="AN77" s="4" t="s">
        <v>37</v>
      </c>
      <c r="AO77"/>
      <c r="AP77" s="35" t="s">
        <v>5</v>
      </c>
      <c r="AQ77" s="36" t="s">
        <v>145</v>
      </c>
      <c r="AR77" s="4" t="s">
        <v>37</v>
      </c>
      <c r="AS77"/>
      <c r="AT77" s="35" t="s">
        <v>5</v>
      </c>
      <c r="AU77" s="36" t="s">
        <v>145</v>
      </c>
      <c r="AV77" s="4" t="s">
        <v>37</v>
      </c>
      <c r="AW77"/>
      <c r="AX77" s="35" t="s">
        <v>5</v>
      </c>
      <c r="AY77" s="47" t="s">
        <v>193</v>
      </c>
      <c r="AZ77" s="48" t="s">
        <v>36</v>
      </c>
      <c r="BA77"/>
    </row>
    <row r="78" spans="1:53" s="7" customFormat="1" ht="15.75">
      <c r="A78"/>
      <c r="B78" s="35" t="s">
        <v>38</v>
      </c>
      <c r="C78" s="36" t="s">
        <v>126</v>
      </c>
      <c r="D78" s="38" t="s">
        <v>120</v>
      </c>
      <c r="E78"/>
      <c r="F78" s="35" t="s">
        <v>38</v>
      </c>
      <c r="G78" s="36" t="s">
        <v>126</v>
      </c>
      <c r="H78" s="38" t="s">
        <v>120</v>
      </c>
      <c r="J78" s="35" t="s">
        <v>38</v>
      </c>
      <c r="K78" s="36" t="s">
        <v>42</v>
      </c>
      <c r="L78" s="36">
        <v>0</v>
      </c>
      <c r="M78"/>
      <c r="N78" s="35" t="s">
        <v>38</v>
      </c>
      <c r="O78" s="36" t="s">
        <v>43</v>
      </c>
      <c r="P78" s="38">
        <v>15</v>
      </c>
      <c r="Q78"/>
      <c r="R78" s="35" t="s">
        <v>38</v>
      </c>
      <c r="S78" s="36" t="s">
        <v>62</v>
      </c>
      <c r="T78" s="38" t="s">
        <v>63</v>
      </c>
      <c r="U78"/>
      <c r="V78" s="35" t="s">
        <v>38</v>
      </c>
      <c r="W78" s="36" t="s">
        <v>62</v>
      </c>
      <c r="X78" s="38" t="s">
        <v>64</v>
      </c>
      <c r="Y78"/>
      <c r="Z78" s="35" t="s">
        <v>38</v>
      </c>
      <c r="AA78" s="36" t="s">
        <v>62</v>
      </c>
      <c r="AB78" s="38" t="s">
        <v>65</v>
      </c>
      <c r="AC78"/>
      <c r="AD78" s="35" t="s">
        <v>38</v>
      </c>
      <c r="AE78" s="36" t="s">
        <v>43</v>
      </c>
      <c r="AF78" s="38" t="s">
        <v>146</v>
      </c>
      <c r="AG78"/>
      <c r="AH78" s="35" t="s">
        <v>38</v>
      </c>
      <c r="AI78" s="36" t="s">
        <v>42</v>
      </c>
      <c r="AJ78" s="36">
        <v>0</v>
      </c>
      <c r="AK78"/>
      <c r="AL78" s="35" t="s">
        <v>38</v>
      </c>
      <c r="AM78" s="36" t="s">
        <v>147</v>
      </c>
      <c r="AN78" s="36">
        <v>1</v>
      </c>
      <c r="AO78"/>
      <c r="AP78" s="35" t="s">
        <v>38</v>
      </c>
      <c r="AQ78" s="36" t="s">
        <v>147</v>
      </c>
      <c r="AR78" s="36">
        <v>2</v>
      </c>
      <c r="AS78"/>
      <c r="AT78" s="35" t="s">
        <v>38</v>
      </c>
      <c r="AU78" s="36" t="s">
        <v>147</v>
      </c>
      <c r="AV78" s="36">
        <v>3</v>
      </c>
      <c r="AW78"/>
      <c r="AX78" s="35" t="s">
        <v>38</v>
      </c>
      <c r="AY78" s="47" t="s">
        <v>194</v>
      </c>
      <c r="AZ78" s="49" t="s">
        <v>63</v>
      </c>
      <c r="BA78"/>
    </row>
    <row r="79" spans="1:53" s="7" customFormat="1" ht="15.75">
      <c r="A79"/>
      <c r="B79" s="35" t="s">
        <v>38</v>
      </c>
      <c r="C79" s="36" t="s">
        <v>125</v>
      </c>
      <c r="D79" s="38" t="s">
        <v>134</v>
      </c>
      <c r="E79"/>
      <c r="F79" s="35" t="s">
        <v>38</v>
      </c>
      <c r="G79" s="36" t="s">
        <v>125</v>
      </c>
      <c r="H79" s="38" t="s">
        <v>134</v>
      </c>
      <c r="J79" s="35" t="s">
        <v>38</v>
      </c>
      <c r="K79" s="36" t="s">
        <v>39</v>
      </c>
      <c r="L79" s="36">
        <v>-1</v>
      </c>
      <c r="M79"/>
      <c r="N79" s="35" t="s">
        <v>38</v>
      </c>
      <c r="O79" s="36" t="s">
        <v>44</v>
      </c>
      <c r="P79" s="38" t="s">
        <v>45</v>
      </c>
      <c r="Q79"/>
      <c r="R79" s="35" t="s">
        <v>38</v>
      </c>
      <c r="S79" s="36" t="s">
        <v>54</v>
      </c>
      <c r="T79" s="38" t="s">
        <v>137</v>
      </c>
      <c r="U79"/>
      <c r="V79" s="35" t="s">
        <v>38</v>
      </c>
      <c r="W79" s="36" t="s">
        <v>54</v>
      </c>
      <c r="X79" s="38" t="s">
        <v>115</v>
      </c>
      <c r="Y79"/>
      <c r="Z79" s="35" t="s">
        <v>38</v>
      </c>
      <c r="AA79" s="36" t="s">
        <v>54</v>
      </c>
      <c r="AB79" s="38" t="s">
        <v>118</v>
      </c>
      <c r="AC79"/>
      <c r="AD79" s="35" t="s">
        <v>38</v>
      </c>
      <c r="AE79" s="36" t="s">
        <v>148</v>
      </c>
      <c r="AF79" s="38" t="s">
        <v>64</v>
      </c>
      <c r="AG79"/>
      <c r="AH79" s="35" t="s">
        <v>38</v>
      </c>
      <c r="AI79" s="36" t="s">
        <v>149</v>
      </c>
      <c r="AJ79" s="36">
        <v>400</v>
      </c>
      <c r="AK79"/>
      <c r="AL79" s="35" t="s">
        <v>38</v>
      </c>
      <c r="AM79" s="36" t="s">
        <v>150</v>
      </c>
      <c r="AN79" s="36">
        <v>1200</v>
      </c>
      <c r="AO79"/>
      <c r="AP79" s="35" t="s">
        <v>38</v>
      </c>
      <c r="AQ79" s="36" t="s">
        <v>150</v>
      </c>
      <c r="AR79" s="36">
        <v>600</v>
      </c>
      <c r="AS79"/>
      <c r="AT79" s="35" t="s">
        <v>38</v>
      </c>
      <c r="AU79" s="36" t="s">
        <v>150</v>
      </c>
      <c r="AV79" s="36">
        <v>300</v>
      </c>
      <c r="AW79"/>
      <c r="AX79" s="35" t="s">
        <v>38</v>
      </c>
      <c r="AY79" s="47" t="s">
        <v>195</v>
      </c>
      <c r="AZ79" s="49" t="s">
        <v>196</v>
      </c>
      <c r="BA79"/>
    </row>
    <row r="80" spans="1:53" s="7" customFormat="1" ht="15.75">
      <c r="A80"/>
      <c r="B80" s="35" t="s">
        <v>38</v>
      </c>
      <c r="C80" s="36" t="s">
        <v>126</v>
      </c>
      <c r="D80" s="38" t="s">
        <v>121</v>
      </c>
      <c r="E80"/>
      <c r="F80" s="35" t="s">
        <v>38</v>
      </c>
      <c r="G80" s="36" t="s">
        <v>126</v>
      </c>
      <c r="H80" s="38" t="s">
        <v>121</v>
      </c>
      <c r="J80" s="35" t="s">
        <v>38</v>
      </c>
      <c r="K80" s="36" t="s">
        <v>40</v>
      </c>
      <c r="L80" s="36">
        <v>-1</v>
      </c>
      <c r="M80"/>
      <c r="N80" s="35" t="s">
        <v>38</v>
      </c>
      <c r="O80" s="36" t="s">
        <v>46</v>
      </c>
      <c r="P80" s="38" t="s">
        <v>47</v>
      </c>
      <c r="Q80"/>
      <c r="R80" s="35" t="s">
        <v>38</v>
      </c>
      <c r="S80" s="36" t="s">
        <v>67</v>
      </c>
      <c r="T80" s="38" t="s">
        <v>117</v>
      </c>
      <c r="U80"/>
      <c r="V80" s="35" t="s">
        <v>38</v>
      </c>
      <c r="W80" s="36" t="s">
        <v>67</v>
      </c>
      <c r="X80" s="38" t="s">
        <v>117</v>
      </c>
      <c r="Y80"/>
      <c r="Z80" s="35" t="s">
        <v>38</v>
      </c>
      <c r="AA80" s="36" t="s">
        <v>67</v>
      </c>
      <c r="AB80" s="38" t="s">
        <v>117</v>
      </c>
      <c r="AC80"/>
      <c r="AD80" s="35" t="s">
        <v>38</v>
      </c>
      <c r="AE80" s="36" t="s">
        <v>46</v>
      </c>
      <c r="AF80" s="38" t="s">
        <v>142</v>
      </c>
      <c r="AG80"/>
      <c r="AH80" s="35" t="s">
        <v>38</v>
      </c>
      <c r="AI80" s="36" t="s">
        <v>151</v>
      </c>
      <c r="AJ80" s="36">
        <v>100</v>
      </c>
      <c r="AK80"/>
      <c r="AL80" s="35" t="s">
        <v>38</v>
      </c>
      <c r="AM80" s="36" t="s">
        <v>152</v>
      </c>
      <c r="AN80" s="36">
        <v>300</v>
      </c>
      <c r="AO80"/>
      <c r="AP80" s="35" t="s">
        <v>38</v>
      </c>
      <c r="AQ80" s="36" t="s">
        <v>152</v>
      </c>
      <c r="AR80" s="36">
        <v>300</v>
      </c>
      <c r="AS80"/>
      <c r="AT80" s="35" t="s">
        <v>38</v>
      </c>
      <c r="AU80" s="36" t="s">
        <v>152</v>
      </c>
      <c r="AV80" s="36">
        <v>300</v>
      </c>
      <c r="AW80"/>
      <c r="AX80" s="35" t="s">
        <v>38</v>
      </c>
      <c r="AY80" s="47" t="s">
        <v>197</v>
      </c>
      <c r="AZ80" s="49" t="s">
        <v>231</v>
      </c>
      <c r="BA80"/>
    </row>
    <row r="81" spans="1:53" s="7" customFormat="1" ht="15.75">
      <c r="A81"/>
      <c r="B81" s="35" t="s">
        <v>38</v>
      </c>
      <c r="C81" s="36" t="s">
        <v>125</v>
      </c>
      <c r="D81" s="38" t="s">
        <v>122</v>
      </c>
      <c r="E81"/>
      <c r="F81" s="35" t="s">
        <v>38</v>
      </c>
      <c r="G81" s="36" t="s">
        <v>125</v>
      </c>
      <c r="H81" s="38" t="s">
        <v>122</v>
      </c>
      <c r="J81" s="35" t="s">
        <v>38</v>
      </c>
      <c r="K81" s="36" t="s">
        <v>41</v>
      </c>
      <c r="L81" s="36">
        <v>-1</v>
      </c>
      <c r="M81"/>
      <c r="N81" s="35" t="s">
        <v>38</v>
      </c>
      <c r="O81" s="36" t="s">
        <v>48</v>
      </c>
      <c r="P81" s="38" t="s">
        <v>49</v>
      </c>
      <c r="Q81"/>
      <c r="R81" s="35" t="s">
        <v>38</v>
      </c>
      <c r="S81" s="36" t="s">
        <v>66</v>
      </c>
      <c r="T81" s="38" t="s">
        <v>116</v>
      </c>
      <c r="U81"/>
      <c r="V81" s="35" t="s">
        <v>38</v>
      </c>
      <c r="W81" s="36" t="s">
        <v>66</v>
      </c>
      <c r="X81" s="38" t="s">
        <v>116</v>
      </c>
      <c r="Y81"/>
      <c r="Z81" s="35" t="s">
        <v>38</v>
      </c>
      <c r="AA81" s="36" t="s">
        <v>66</v>
      </c>
      <c r="AB81" s="38" t="s">
        <v>116</v>
      </c>
      <c r="AC81"/>
      <c r="AD81" s="35" t="s">
        <v>38</v>
      </c>
      <c r="AE81" s="36" t="s">
        <v>153</v>
      </c>
      <c r="AF81" s="38" t="s">
        <v>64</v>
      </c>
      <c r="AG81"/>
      <c r="AH81" s="35" t="s">
        <v>38</v>
      </c>
      <c r="AI81" s="36" t="s">
        <v>154</v>
      </c>
      <c r="AJ81" s="36">
        <v>100</v>
      </c>
      <c r="AK81"/>
      <c r="AL81"/>
      <c r="AM81"/>
      <c r="AN81"/>
      <c r="AO81"/>
      <c r="AP81"/>
      <c r="AQ81"/>
      <c r="AR81"/>
      <c r="AS81"/>
      <c r="AT81"/>
      <c r="AU81"/>
      <c r="AV81"/>
      <c r="AW81"/>
      <c r="AX81" s="35" t="s">
        <v>38</v>
      </c>
      <c r="AY81" s="47" t="s">
        <v>198</v>
      </c>
      <c r="AZ81" s="49" t="s">
        <v>236</v>
      </c>
      <c r="BA81"/>
    </row>
    <row r="82" spans="1:53" s="7" customFormat="1" ht="15.75">
      <c r="A82"/>
      <c r="B82" s="35" t="s">
        <v>38</v>
      </c>
      <c r="C82" s="36" t="s">
        <v>126</v>
      </c>
      <c r="D82" s="38" t="s">
        <v>123</v>
      </c>
      <c r="E82"/>
      <c r="F82" s="35" t="s">
        <v>38</v>
      </c>
      <c r="G82" s="36" t="s">
        <v>126</v>
      </c>
      <c r="H82" s="38" t="s">
        <v>123</v>
      </c>
      <c r="J82"/>
      <c r="K82"/>
      <c r="L82"/>
      <c r="M82"/>
      <c r="N82" s="35" t="s">
        <v>38</v>
      </c>
      <c r="O82" s="36" t="s">
        <v>50</v>
      </c>
      <c r="P82" s="38" t="s">
        <v>47</v>
      </c>
      <c r="Q82"/>
      <c r="R82" s="35" t="s">
        <v>38</v>
      </c>
      <c r="S82" s="36" t="s">
        <v>57</v>
      </c>
      <c r="T82" s="38" t="s">
        <v>58</v>
      </c>
      <c r="U82"/>
      <c r="V82" s="35" t="s">
        <v>38</v>
      </c>
      <c r="W82" s="36" t="s">
        <v>57</v>
      </c>
      <c r="X82" s="38" t="s">
        <v>58</v>
      </c>
      <c r="Y82"/>
      <c r="Z82" s="35" t="s">
        <v>38</v>
      </c>
      <c r="AA82" s="36" t="s">
        <v>57</v>
      </c>
      <c r="AB82" s="38" t="s">
        <v>58</v>
      </c>
      <c r="AC82"/>
      <c r="AD82" s="35" t="s">
        <v>38</v>
      </c>
      <c r="AE82" s="36" t="s">
        <v>50</v>
      </c>
      <c r="AF82" s="38" t="s">
        <v>136</v>
      </c>
      <c r="AG82"/>
      <c r="AH82" s="35" t="s">
        <v>38</v>
      </c>
      <c r="AI82" s="36" t="s">
        <v>155</v>
      </c>
      <c r="AJ82" s="36">
        <v>200</v>
      </c>
      <c r="AK82"/>
      <c r="AL82"/>
      <c r="AM82"/>
      <c r="AN82"/>
      <c r="AO82"/>
      <c r="AP82"/>
      <c r="AQ82"/>
      <c r="AR82"/>
      <c r="AS82"/>
      <c r="AT82"/>
      <c r="AU82"/>
      <c r="AV82"/>
      <c r="AW82"/>
      <c r="AX82" s="35" t="s">
        <v>38</v>
      </c>
      <c r="AY82" s="47" t="s">
        <v>237</v>
      </c>
      <c r="AZ82" s="49" t="s">
        <v>238</v>
      </c>
      <c r="BA82"/>
    </row>
    <row r="83" spans="1:53" s="7" customFormat="1" ht="15.75">
      <c r="A83"/>
      <c r="B83" s="35" t="s">
        <v>38</v>
      </c>
      <c r="C83" s="36" t="s">
        <v>125</v>
      </c>
      <c r="D83" s="38" t="s">
        <v>135</v>
      </c>
      <c r="E83"/>
      <c r="F83" s="35" t="s">
        <v>38</v>
      </c>
      <c r="G83" s="36" t="s">
        <v>125</v>
      </c>
      <c r="H83" s="38" t="s">
        <v>135</v>
      </c>
      <c r="J83"/>
      <c r="K83"/>
      <c r="L83"/>
      <c r="M83"/>
      <c r="N83"/>
      <c r="O83"/>
      <c r="P83"/>
      <c r="Q83"/>
      <c r="R83" s="35" t="s">
        <v>38</v>
      </c>
      <c r="S83" s="36" t="s">
        <v>55</v>
      </c>
      <c r="T83" s="38" t="s">
        <v>138</v>
      </c>
      <c r="U83"/>
      <c r="V83" s="35" t="s">
        <v>38</v>
      </c>
      <c r="W83" s="36" t="s">
        <v>55</v>
      </c>
      <c r="X83" s="38" t="s">
        <v>138</v>
      </c>
      <c r="Y83"/>
      <c r="Z83" s="35" t="s">
        <v>38</v>
      </c>
      <c r="AA83" s="36" t="s">
        <v>55</v>
      </c>
      <c r="AB83" s="38" t="s">
        <v>138</v>
      </c>
      <c r="AC83"/>
      <c r="AD83" s="35" t="s">
        <v>38</v>
      </c>
      <c r="AE83" s="36" t="s">
        <v>156</v>
      </c>
      <c r="AF83" s="38" t="s">
        <v>64</v>
      </c>
      <c r="AG83"/>
      <c r="AH83" s="35" t="s">
        <v>38</v>
      </c>
      <c r="AI83" s="36" t="s">
        <v>157</v>
      </c>
      <c r="AJ83" s="36">
        <v>100</v>
      </c>
      <c r="AK83"/>
      <c r="AL83"/>
      <c r="AM83"/>
      <c r="AN83"/>
      <c r="AO83"/>
      <c r="AP83"/>
      <c r="AQ83"/>
      <c r="AR83"/>
      <c r="AS83"/>
      <c r="AT83"/>
      <c r="AU83"/>
      <c r="AV83"/>
      <c r="AW83"/>
      <c r="AX83" s="35" t="s">
        <v>38</v>
      </c>
      <c r="AY83" s="47" t="s">
        <v>199</v>
      </c>
      <c r="AZ83" s="49" t="s">
        <v>240</v>
      </c>
      <c r="BA83"/>
    </row>
    <row r="84" spans="1:53" s="7" customFormat="1" ht="15.75">
      <c r="A84"/>
      <c r="B84" s="35" t="s">
        <v>38</v>
      </c>
      <c r="C84" s="36" t="s">
        <v>126</v>
      </c>
      <c r="D84" s="38" t="s">
        <v>124</v>
      </c>
      <c r="E84"/>
      <c r="F84" s="35" t="s">
        <v>38</v>
      </c>
      <c r="G84" s="36" t="s">
        <v>126</v>
      </c>
      <c r="H84" s="38" t="s">
        <v>124</v>
      </c>
      <c r="J84"/>
      <c r="K84"/>
      <c r="L84"/>
      <c r="M84"/>
      <c r="N84"/>
      <c r="O84"/>
      <c r="P84"/>
      <c r="Q84"/>
      <c r="R84" s="35" t="s">
        <v>38</v>
      </c>
      <c r="S84" s="36" t="s">
        <v>56</v>
      </c>
      <c r="T84" s="38" t="s">
        <v>139</v>
      </c>
      <c r="U84"/>
      <c r="V84" s="35" t="s">
        <v>38</v>
      </c>
      <c r="W84" s="36" t="s">
        <v>56</v>
      </c>
      <c r="X84" s="38" t="s">
        <v>139</v>
      </c>
      <c r="Y84"/>
      <c r="Z84" s="35" t="s">
        <v>38</v>
      </c>
      <c r="AA84" s="36" t="s">
        <v>56</v>
      </c>
      <c r="AB84" s="38" t="s">
        <v>139</v>
      </c>
      <c r="AC84"/>
      <c r="AD84" s="35" t="s">
        <v>38</v>
      </c>
      <c r="AE84" s="36" t="s">
        <v>158</v>
      </c>
      <c r="AF84" s="38" t="s">
        <v>159</v>
      </c>
      <c r="AG84"/>
      <c r="AH84" s="35" t="s">
        <v>38</v>
      </c>
      <c r="AI84" s="36" t="s">
        <v>160</v>
      </c>
      <c r="AJ84" s="36">
        <v>6000</v>
      </c>
      <c r="AK84"/>
      <c r="AL84"/>
      <c r="AM84"/>
      <c r="AN84"/>
      <c r="AO84"/>
      <c r="AP84"/>
      <c r="AQ84"/>
      <c r="AR84"/>
      <c r="AS84"/>
      <c r="AT84"/>
      <c r="AU84"/>
      <c r="AV84"/>
      <c r="AW84"/>
      <c r="AX84" s="35" t="s">
        <v>38</v>
      </c>
      <c r="AY84" s="47" t="s">
        <v>200</v>
      </c>
      <c r="AZ84" s="49" t="s">
        <v>242</v>
      </c>
      <c r="BA84"/>
    </row>
    <row r="85" spans="1:53" s="7" customFormat="1" ht="15.75">
      <c r="A85"/>
      <c r="B85" s="35" t="s">
        <v>38</v>
      </c>
      <c r="C85" s="36" t="s">
        <v>125</v>
      </c>
      <c r="D85" s="38" t="s">
        <v>136</v>
      </c>
      <c r="E85"/>
      <c r="F85" s="35" t="s">
        <v>38</v>
      </c>
      <c r="G85" s="36" t="s">
        <v>125</v>
      </c>
      <c r="H85" s="38" t="s">
        <v>136</v>
      </c>
      <c r="J85"/>
      <c r="K85"/>
      <c r="L85"/>
      <c r="M85"/>
      <c r="N85"/>
      <c r="O85"/>
      <c r="P85"/>
      <c r="Q85"/>
      <c r="R85" s="35" t="s">
        <v>38</v>
      </c>
      <c r="S85" s="36" t="s">
        <v>59</v>
      </c>
      <c r="T85" s="38" t="s">
        <v>141</v>
      </c>
      <c r="U85"/>
      <c r="V85" s="35" t="s">
        <v>38</v>
      </c>
      <c r="W85" s="36" t="s">
        <v>59</v>
      </c>
      <c r="X85" s="38" t="s">
        <v>141</v>
      </c>
      <c r="Y85"/>
      <c r="Z85" s="35" t="s">
        <v>38</v>
      </c>
      <c r="AA85" s="36" t="s">
        <v>59</v>
      </c>
      <c r="AB85" s="38" t="s">
        <v>141</v>
      </c>
      <c r="AC85"/>
      <c r="AD85"/>
      <c r="AE85"/>
      <c r="AF85"/>
      <c r="AG85"/>
      <c r="AH85" s="35" t="s">
        <v>38</v>
      </c>
      <c r="AI85" s="36" t="s">
        <v>255</v>
      </c>
      <c r="AJ85" s="36">
        <v>100</v>
      </c>
      <c r="AK85"/>
      <c r="AL85"/>
      <c r="AM85"/>
      <c r="AN85"/>
      <c r="AO85"/>
      <c r="AP85"/>
      <c r="AQ85"/>
      <c r="AR85"/>
      <c r="AS85"/>
      <c r="AT85"/>
      <c r="AU85"/>
      <c r="AV85"/>
      <c r="AW85"/>
      <c r="AX85" s="35" t="s">
        <v>38</v>
      </c>
      <c r="AY85" s="47" t="s">
        <v>201</v>
      </c>
      <c r="AZ85" s="52">
        <f>ROUND(AZ80+AZ86*AZ82/1000, 0)</f>
        <v>355000</v>
      </c>
      <c r="BA85"/>
    </row>
    <row r="86" spans="1:53" s="7" customFormat="1" ht="15.75">
      <c r="A86"/>
      <c r="B86" s="41" t="s">
        <v>38</v>
      </c>
      <c r="C86" s="42" t="s">
        <v>127</v>
      </c>
      <c r="D86" s="38" t="s">
        <v>63</v>
      </c>
      <c r="E86"/>
      <c r="F86" s="41" t="s">
        <v>38</v>
      </c>
      <c r="G86" s="42" t="s">
        <v>127</v>
      </c>
      <c r="H86" s="38" t="s">
        <v>64</v>
      </c>
      <c r="J86"/>
      <c r="K86"/>
      <c r="L86"/>
      <c r="M86"/>
      <c r="N86"/>
      <c r="O86"/>
      <c r="P86"/>
      <c r="Q86"/>
      <c r="R86" s="35" t="s">
        <v>38</v>
      </c>
      <c r="S86" s="36" t="s">
        <v>60</v>
      </c>
      <c r="T86" s="38" t="s">
        <v>140</v>
      </c>
      <c r="U86"/>
      <c r="V86" s="35" t="s">
        <v>38</v>
      </c>
      <c r="W86" s="36" t="s">
        <v>60</v>
      </c>
      <c r="X86" s="38" t="s">
        <v>140</v>
      </c>
      <c r="Y86"/>
      <c r="Z86" s="35" t="s">
        <v>38</v>
      </c>
      <c r="AA86" s="36" t="s">
        <v>60</v>
      </c>
      <c r="AB86" s="38" t="s">
        <v>140</v>
      </c>
      <c r="AC86"/>
      <c r="AD86"/>
      <c r="AE86"/>
      <c r="AF86"/>
      <c r="AG86"/>
      <c r="AH86" s="35" t="s">
        <v>38</v>
      </c>
      <c r="AI86" s="36" t="s">
        <v>256</v>
      </c>
      <c r="AJ86" s="36">
        <v>25500</v>
      </c>
      <c r="AK86"/>
      <c r="AL86"/>
      <c r="AM86"/>
      <c r="AN86"/>
      <c r="AO86"/>
      <c r="AP86"/>
      <c r="AQ86"/>
      <c r="AR86"/>
      <c r="AS86"/>
      <c r="AT86"/>
      <c r="AU86"/>
      <c r="AV86"/>
      <c r="AW86"/>
      <c r="AX86" s="41" t="s">
        <v>38</v>
      </c>
      <c r="AY86" s="53" t="s">
        <v>202</v>
      </c>
      <c r="AZ86" s="52">
        <f>ROUND((AZ79-AZ80)*1000/(AZ82-AZ81),0)</f>
        <v>6000</v>
      </c>
      <c r="BA86"/>
    </row>
    <row r="87" spans="1:53" s="7" customFormat="1" ht="15.75">
      <c r="A87"/>
      <c r="B87"/>
      <c r="C87"/>
      <c r="D87"/>
      <c r="E87"/>
      <c r="F87"/>
      <c r="G87"/>
      <c r="H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s="35" t="s">
        <v>38</v>
      </c>
      <c r="AY87" s="47" t="s">
        <v>203</v>
      </c>
      <c r="AZ87" s="52">
        <f>ROUND(AZ84+AZ88*AZ82/1000,0)</f>
        <v>285016</v>
      </c>
      <c r="BA87"/>
    </row>
    <row r="88" spans="1:53" s="7" customFormat="1" ht="15.75">
      <c r="A88"/>
      <c r="B88"/>
      <c r="C88"/>
      <c r="D88"/>
      <c r="E88"/>
      <c r="F88"/>
      <c r="G88"/>
      <c r="H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s="41" t="s">
        <v>38</v>
      </c>
      <c r="AY88" s="53" t="s">
        <v>204</v>
      </c>
      <c r="AZ88" s="52">
        <f>ROUND((AZ83-AZ84)*1000/(AZ82-AZ81),0)</f>
        <v>4667</v>
      </c>
      <c r="BA88"/>
    </row>
    <row r="89" spans="1:53" s="7" customFormat="1" ht="15.7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s="35" t="s">
        <v>38</v>
      </c>
      <c r="AY89" s="36" t="s">
        <v>226</v>
      </c>
      <c r="AZ89" s="49" t="s">
        <v>232</v>
      </c>
      <c r="BA89"/>
    </row>
    <row r="90" spans="1:53" s="7" customFormat="1" ht="15.7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s="35" t="s">
        <v>38</v>
      </c>
      <c r="AY90" s="36" t="s">
        <v>228</v>
      </c>
      <c r="AZ90" s="49" t="s">
        <v>232</v>
      </c>
      <c r="BA90"/>
    </row>
    <row r="91" spans="1:53" s="7" customFormat="1" ht="15.7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s="35" t="s">
        <v>38</v>
      </c>
      <c r="AY91" s="36" t="s">
        <v>229</v>
      </c>
      <c r="AZ91" s="49" t="s">
        <v>230</v>
      </c>
      <c r="BA91"/>
    </row>
    <row r="92" spans="1:53" s="7" customFormat="1" ht="15.7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row>
    <row r="93" spans="1:53" s="7" customFormat="1" ht="15.7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row>
    <row r="94" spans="1:53" s="7" customFormat="1" ht="15.7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row>
    <row r="95" spans="1:53" ht="15.7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row>
    <row r="96" spans="1:53" ht="15.7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row>
    <row r="97" spans="1:53" ht="15.7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row>
    <row r="98" spans="1:53" ht="15.7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row>
    <row r="99" spans="1:53" ht="15.7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row>
    <row r="100" spans="1:53" ht="15.7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row>
    <row r="101" spans="1:53" ht="15.7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row>
    <row r="102" spans="1:53" ht="15.7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row>
    <row r="103" spans="1:53" ht="15.7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row>
    <row r="104" spans="1:53" ht="15.7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row>
    <row r="105" spans="1:53" ht="15.7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row>
    <row r="106" spans="1:53" ht="15.7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row>
    <row r="107" spans="1:53" ht="15.7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row>
    <row r="108" spans="1:53" ht="15.7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row>
    <row r="109" spans="1:53" ht="15.7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row>
    <row r="110" spans="1:53" ht="15.7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row>
    <row r="111" spans="1:53" ht="15.7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row>
    <row r="112" spans="1:53" ht="15.7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row>
    <row r="113" spans="1:53" ht="15.7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row>
    <row r="114" spans="1:53" ht="15.7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row>
    <row r="115" spans="1:53" ht="15.7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row>
    <row r="116" spans="1:53" ht="15.7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row>
    <row r="117" spans="1:53" ht="15.7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row>
    <row r="118" spans="1:53" ht="15.7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row>
    <row r="119" spans="1:53" ht="15.7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row>
    <row r="120" spans="1:53" ht="15.7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row>
    <row r="121" spans="1:53" ht="15.7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row>
    <row r="122" spans="1:53" ht="15.7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row>
  </sheetData>
  <phoneticPr fontId="8" type="noConversion"/>
  <dataValidations count="9">
    <dataValidation type="list" allowBlank="1" showInputMessage="1" showErrorMessage="1" sqref="L77 P77 T77 AB77 X77 AJ1 AF1 D77 H77 AR1 AN1 L1 P1 X1 T1 H1 D1 AB1 AV1 AZ1 AV77 AF77 AJ77 AN77 AR77 AZ77">
      <formula1>"ENABLE,DISABLE"</formula1>
    </dataValidation>
    <dataValidation type="decimal" allowBlank="1" showInputMessage="1" showErrorMessage="1" errorTitle="Invalid" error="Must between [-1, 65535]" promptTitle="Range" prompt="between [-1, 65535]" sqref="L79:L81">
      <formula1>-1</formula1>
      <formula2>65535</formula2>
    </dataValidation>
    <dataValidation type="decimal" allowBlank="1" showInputMessage="1" showErrorMessage="1" errorTitle="Invalid" error="Must be 0 or 1" promptTitle="kernel log" prompt="0, off (default)_x000a_1, on" sqref="L78 AJ78">
      <formula1>0</formula1>
      <formula2>1</formula2>
    </dataValidation>
    <dataValidation type="list" allowBlank="1" showInputMessage="1" sqref="AE61 AQ5 AU68 AU12 AU19 AU26 AU33 AU40 AU47 AU54 AU61 AM5 AQ68 AQ12 AQ19 AQ26 AQ33 AQ40 AQ47 AQ54 AQ61 AY40 AM68 AM12 AM19 AM26 AM33 AM40 AM47 AM54 AM61 AI5 AI68 AI12 AI19 AI26 AI33 AI40 AI47 AI54 AI61 AA5 AA12 AA19 AA26 AA33 AA40 AA47 AA54 AA61 AA68 AY47 C26 C40 W68 W61 W54 W47 W40 W33 W26 W19 W5 W12 S68 S61 S54 S47 S40 S33 S26 S19 S5 S12 O68 O61 O54 O47 O40 O33 O26 O19 O5 O12 K68 K61 K54 K47 K40 K33 K26 K19 K5 K12 G68 G61 G54 G47 G40 G33 G26 G19 G5 G12 C68 C61 C54 C47 C33 AY54 AY61 AE5 AE68 AE12 AE19 AE26 AE33 AE40 AE47 AE54 AU5 AY68 AY12 AY19 AY26 AY33 AY5">
      <formula1>'6755_coolers'!A2:A137</formula1>
    </dataValidation>
    <dataValidation type="list" allowBlank="1" showInputMessage="1" showErrorMessage="1" sqref="AE1 AU1 AQ1 AM1 AI1 AA1 W1 S1 O1 K1 G1 C1 AY1">
      <formula1>'6755_tz'!A2:A97</formula1>
    </dataValidation>
    <dataValidation type="list" allowBlank="1" showInputMessage="1" showErrorMessage="1" sqref="AE55:AE57 AQ6:AQ8 AU62:AU64 AU13:AU15 AU69:AU71 AU20:AU22 AU27:AU29 AU34:AU36 AU41:AU43 AU48:AU50 AU55:AU57 AM6:AM8 AQ62:AQ64 AQ13:AQ15 AQ69:AQ71 AQ20:AQ22 AQ27:AQ29 AQ34:AQ36 AQ41:AQ43 AQ48:AQ50 AQ55:AQ57 C6:C8 AM62:AM64 AM13:AM15 AM69:AM71 AM20:AM22 AM27:AM29 AM34:AM36 AM41:AM43 AM48:AM50 AM55:AM57 AI6:AI8 AI62:AI64 AI13:AI15 AI69:AI71 AI20:AI22 AI27:AI29 AI34:AI36 AI41:AI43 AI48:AI50 AI55:AI57 AA62:AA64 AA13:AA15 AA69:AA71 AA20:AA22 AA27:AA29 AA34:AA36 AA41:AA43 AA6:AA8 AA48:AA50 AA55:AA57 AY41:AY43 C27:C29 AY48:AY50 C41:C43 W62:W64 W55:W57 W48:W50 W6:W8 W41:W43 W34:W36 W27:W29 W20:W22 W69:W71 W13:W15 K62:K64 K55:K57 K48:K50 G62:G64 K6:K8 K41:K43 G55:G57 G48:G50 G6:G8 K34:K36 K27:K29 G41:G43 K20:K22 G34:G36 G27:G29 K69:K71 G20:G22 G69:G71 K13:K15 S62:S64 S55:S57 S48:S50 S6:S8 S41:S43 S34:S36 S27:S29 S20:S22 S69:S71 S13:S15 C62:C64 C55:C57 C48:C50 AY55:AY57 C34:C36 C69:C71 O62:O64 O55:O57 O48:O50 O6:O8 O41:O43 O34:O36 O27:O29 O20:O22 O69:O71 O13:O15 G13:G15 AE6:AE8 AE62:AE64 AE13:AE15 AE69:AE71 AE20:AE22 AE27:AE29 AE34:AE36 AE41:AE43 AE48:AE50 AU6:AU8 AY62:AY64 AY13:AY15 AY69:AY71 AY20:AY22 AY27:AY29 AY34:AY36 C13:C15 C20:C22 AY6:AY8">
      <formula1>"NULL, CPU0 loading(%), Wifi usage(Kb/s), EXIT, mtktscpu, mtktsabb, mtktspmic, mtktsbattery, mtktspa, mtktswmt, mtktsAP, mtktsbuck, mtktsbattery2, mtktsxtal"</formula1>
    </dataValidation>
    <dataValidation type="list" allowBlank="1" showInputMessage="1" sqref="C12 C5 C19">
      <formula1>'[6]6752_coolers'!A2:A134</formula1>
    </dataValidation>
    <dataValidation type="decimal" allowBlank="1" showInputMessage="1" showErrorMessage="1" errorTitle="Invalid" error="Must between [-1, 65535]" promptTitle="Range" prompt="0 or between [100, 25500]" sqref="AN79:AN80 AR79:AR80 AV79:AV80 AJ79:AJ86">
      <formula1>0</formula1>
      <formula2>25500</formula2>
    </dataValidation>
    <dataValidation type="decimal" allowBlank="1" showInputMessage="1" showErrorMessage="1" errorTitle="Invalid" error="Must be 0 or 1" promptTitle="kernel log" prompt="[1, max step]" sqref="AN78 AR78 AV78">
      <formula1>1</formula1>
      <formula2>5</formula2>
    </dataValidation>
  </dataValidations>
  <pageMargins left="0.7" right="0.7" top="0.75" bottom="0.75" header="0.3" footer="0.3"/>
  <pageSetup paperSize="9" orientation="portrait" r:id="rId1"/>
  <legacyDrawing r:id="rId2"/>
</worksheet>
</file>

<file path=xl/worksheets/sheet15.xml><?xml version="1.0" encoding="utf-8"?>
<worksheet xmlns="http://schemas.openxmlformats.org/spreadsheetml/2006/main" xmlns:r="http://schemas.openxmlformats.org/officeDocument/2006/relationships">
  <sheetPr codeName="Sheet1"/>
  <dimension ref="A1:C72"/>
  <sheetViews>
    <sheetView topLeftCell="A46" workbookViewId="0">
      <selection activeCell="A70" sqref="A70"/>
    </sheetView>
  </sheetViews>
  <sheetFormatPr defaultRowHeight="15.75"/>
  <cols>
    <col min="1" max="3" width="40.7109375" customWidth="1"/>
  </cols>
  <sheetData>
    <row r="1" spans="1:3">
      <c r="A1" t="s">
        <v>70</v>
      </c>
      <c r="B1" t="s">
        <v>71</v>
      </c>
      <c r="C1" t="s">
        <v>28</v>
      </c>
    </row>
    <row r="2" spans="1:3">
      <c r="A2" s="39" t="s">
        <v>4</v>
      </c>
    </row>
    <row r="3" spans="1:3">
      <c r="A3" s="39" t="s">
        <v>72</v>
      </c>
    </row>
    <row r="4" spans="1:3">
      <c r="A4" s="39" t="s">
        <v>73</v>
      </c>
    </row>
    <row r="5" spans="1:3">
      <c r="A5" s="39" t="s">
        <v>74</v>
      </c>
    </row>
    <row r="6" spans="1:3">
      <c r="A6" s="39" t="s">
        <v>75</v>
      </c>
    </row>
    <row r="7" spans="1:3">
      <c r="A7" s="39" t="s">
        <v>76</v>
      </c>
    </row>
    <row r="8" spans="1:3">
      <c r="A8" s="39" t="s">
        <v>77</v>
      </c>
    </row>
    <row r="9" spans="1:3">
      <c r="A9" s="39" t="s">
        <v>78</v>
      </c>
    </row>
    <row r="10" spans="1:3">
      <c r="A10" s="39" t="s">
        <v>79</v>
      </c>
    </row>
    <row r="11" spans="1:3">
      <c r="A11" s="39" t="s">
        <v>80</v>
      </c>
    </row>
    <row r="12" spans="1:3">
      <c r="A12" s="39" t="s">
        <v>81</v>
      </c>
    </row>
    <row r="13" spans="1:3">
      <c r="A13" s="39" t="s">
        <v>82</v>
      </c>
    </row>
    <row r="14" spans="1:3">
      <c r="A14" s="39" t="s">
        <v>83</v>
      </c>
    </row>
    <row r="15" spans="1:3">
      <c r="A15" s="39" t="s">
        <v>84</v>
      </c>
    </row>
    <row r="16" spans="1:3">
      <c r="A16" s="39" t="s">
        <v>85</v>
      </c>
    </row>
    <row r="17" spans="1:1">
      <c r="A17" s="39" t="s">
        <v>86</v>
      </c>
    </row>
    <row r="18" spans="1:1">
      <c r="A18" s="39" t="s">
        <v>87</v>
      </c>
    </row>
    <row r="19" spans="1:1">
      <c r="A19" s="39" t="s">
        <v>88</v>
      </c>
    </row>
    <row r="20" spans="1:1">
      <c r="A20" s="39" t="s">
        <v>89</v>
      </c>
    </row>
    <row r="21" spans="1:1">
      <c r="A21" s="39" t="s">
        <v>90</v>
      </c>
    </row>
    <row r="22" spans="1:1">
      <c r="A22" s="39" t="s">
        <v>91</v>
      </c>
    </row>
    <row r="23" spans="1:1">
      <c r="A23" s="39" t="s">
        <v>92</v>
      </c>
    </row>
    <row r="24" spans="1:1">
      <c r="A24" s="39" t="s">
        <v>93</v>
      </c>
    </row>
    <row r="25" spans="1:1">
      <c r="A25" s="39" t="s">
        <v>94</v>
      </c>
    </row>
    <row r="26" spans="1:1">
      <c r="A26" s="39" t="s">
        <v>95</v>
      </c>
    </row>
    <row r="27" spans="1:1">
      <c r="A27" s="39" t="s">
        <v>96</v>
      </c>
    </row>
    <row r="28" spans="1:1">
      <c r="A28" s="39" t="s">
        <v>61</v>
      </c>
    </row>
    <row r="29" spans="1:1">
      <c r="A29" s="39" t="s">
        <v>97</v>
      </c>
    </row>
    <row r="30" spans="1:1">
      <c r="A30" s="39" t="s">
        <v>98</v>
      </c>
    </row>
    <row r="31" spans="1:1">
      <c r="A31" s="39" t="s">
        <v>99</v>
      </c>
    </row>
    <row r="32" spans="1:1">
      <c r="A32" s="39" t="s">
        <v>100</v>
      </c>
    </row>
    <row r="33" spans="1:1">
      <c r="A33" s="39" t="s">
        <v>101</v>
      </c>
    </row>
    <row r="34" spans="1:1">
      <c r="A34" s="39" t="s">
        <v>102</v>
      </c>
    </row>
    <row r="35" spans="1:1">
      <c r="A35" s="39" t="s">
        <v>103</v>
      </c>
    </row>
    <row r="36" spans="1:1">
      <c r="A36" s="39" t="s">
        <v>104</v>
      </c>
    </row>
    <row r="37" spans="1:1">
      <c r="A37" s="39" t="s">
        <v>15</v>
      </c>
    </row>
    <row r="38" spans="1:1">
      <c r="A38" s="39" t="s">
        <v>0</v>
      </c>
    </row>
    <row r="39" spans="1:1">
      <c r="A39" s="39" t="s">
        <v>1</v>
      </c>
    </row>
    <row r="40" spans="1:1">
      <c r="A40" s="39" t="s">
        <v>17</v>
      </c>
    </row>
    <row r="41" spans="1:1">
      <c r="A41" s="39" t="s">
        <v>2</v>
      </c>
    </row>
    <row r="42" spans="1:1">
      <c r="A42" s="39" t="s">
        <v>16</v>
      </c>
    </row>
    <row r="43" spans="1:1">
      <c r="A43" s="39" t="s">
        <v>185</v>
      </c>
    </row>
    <row r="44" spans="1:1">
      <c r="A44" s="39" t="s">
        <v>105</v>
      </c>
    </row>
    <row r="45" spans="1:1">
      <c r="A45" s="39" t="s">
        <v>106</v>
      </c>
    </row>
    <row r="46" spans="1:1">
      <c r="A46" s="39" t="s">
        <v>107</v>
      </c>
    </row>
    <row r="47" spans="1:1">
      <c r="A47" s="39" t="s">
        <v>3</v>
      </c>
    </row>
    <row r="48" spans="1:1">
      <c r="A48" s="39" t="s">
        <v>108</v>
      </c>
    </row>
    <row r="49" spans="1:3">
      <c r="A49" s="39" t="s">
        <v>109</v>
      </c>
    </row>
    <row r="50" spans="1:3">
      <c r="A50" s="39" t="s">
        <v>110</v>
      </c>
    </row>
    <row r="51" spans="1:3">
      <c r="A51" s="39" t="s">
        <v>111</v>
      </c>
    </row>
    <row r="52" spans="1:3">
      <c r="A52" s="39" t="s">
        <v>33</v>
      </c>
      <c r="B52" t="s">
        <v>164</v>
      </c>
    </row>
    <row r="53" spans="1:3">
      <c r="A53" s="39" t="s">
        <v>112</v>
      </c>
      <c r="B53" t="s">
        <v>164</v>
      </c>
    </row>
    <row r="54" spans="1:3">
      <c r="A54" s="39" t="s">
        <v>113</v>
      </c>
      <c r="B54" t="s">
        <v>164</v>
      </c>
    </row>
    <row r="55" spans="1:3">
      <c r="A55" s="39" t="s">
        <v>19</v>
      </c>
      <c r="B55" t="s">
        <v>165</v>
      </c>
    </row>
    <row r="56" spans="1:3">
      <c r="A56" s="40" t="s">
        <v>114</v>
      </c>
      <c r="B56" s="37" t="s">
        <v>165</v>
      </c>
      <c r="C56" s="37"/>
    </row>
    <row r="57" spans="1:3">
      <c r="A57" s="39" t="s">
        <v>51</v>
      </c>
      <c r="B57" t="s">
        <v>166</v>
      </c>
      <c r="C57" s="37"/>
    </row>
    <row r="58" spans="1:3">
      <c r="A58" s="39" t="s">
        <v>52</v>
      </c>
      <c r="B58" t="s">
        <v>166</v>
      </c>
      <c r="C58" s="37"/>
    </row>
    <row r="59" spans="1:3">
      <c r="A59" s="39" t="s">
        <v>53</v>
      </c>
      <c r="B59" t="s">
        <v>166</v>
      </c>
      <c r="C59" s="37"/>
    </row>
    <row r="60" spans="1:3">
      <c r="A60" s="39" t="s">
        <v>68</v>
      </c>
      <c r="B60" t="s">
        <v>167</v>
      </c>
      <c r="C60" s="37"/>
    </row>
    <row r="61" spans="1:3">
      <c r="A61" s="39" t="s">
        <v>132</v>
      </c>
      <c r="B61" t="s">
        <v>168</v>
      </c>
      <c r="C61" s="37"/>
    </row>
    <row r="62" spans="1:3">
      <c r="A62" s="39" t="s">
        <v>143</v>
      </c>
      <c r="B62" t="s">
        <v>169</v>
      </c>
      <c r="C62" s="37"/>
    </row>
    <row r="63" spans="1:3">
      <c r="A63" s="40" t="s">
        <v>161</v>
      </c>
      <c r="B63" s="37" t="s">
        <v>169</v>
      </c>
      <c r="C63" s="37"/>
    </row>
    <row r="64" spans="1:3">
      <c r="A64" s="40" t="s">
        <v>145</v>
      </c>
      <c r="B64" s="37" t="s">
        <v>170</v>
      </c>
      <c r="C64" s="37"/>
    </row>
    <row r="65" spans="1:3">
      <c r="A65" s="39" t="s">
        <v>144</v>
      </c>
      <c r="B65" t="s">
        <v>171</v>
      </c>
      <c r="C65" s="37"/>
    </row>
    <row r="66" spans="1:3">
      <c r="A66" s="39" t="s">
        <v>162</v>
      </c>
      <c r="B66" t="s">
        <v>171</v>
      </c>
      <c r="C66" s="37"/>
    </row>
    <row r="67" spans="1:3">
      <c r="A67" s="40" t="s">
        <v>163</v>
      </c>
      <c r="B67" s="37" t="s">
        <v>171</v>
      </c>
      <c r="C67" s="37"/>
    </row>
    <row r="68" spans="1:3">
      <c r="A68" s="40" t="s">
        <v>225</v>
      </c>
      <c r="B68" s="37" t="s">
        <v>171</v>
      </c>
      <c r="C68" s="37"/>
    </row>
    <row r="69" spans="1:3">
      <c r="A69" s="40" t="s">
        <v>252</v>
      </c>
      <c r="B69" s="37"/>
      <c r="C69" s="37"/>
    </row>
    <row r="70" spans="1:3">
      <c r="A70" s="40" t="s">
        <v>254</v>
      </c>
      <c r="B70" s="37"/>
      <c r="C70" s="37"/>
    </row>
    <row r="71" spans="1:3">
      <c r="A71" s="40" t="s">
        <v>183</v>
      </c>
      <c r="B71" s="37" t="s">
        <v>184</v>
      </c>
      <c r="C71" s="37"/>
    </row>
    <row r="72" spans="1:3">
      <c r="A72" s="40" t="s">
        <v>193</v>
      </c>
      <c r="B72" s="37" t="s">
        <v>205</v>
      </c>
      <c r="C72" s="37"/>
    </row>
  </sheetData>
  <phoneticPr fontId="8" type="noConversion"/>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sheetPr codeName="Sheet5"/>
  <dimension ref="A1:C15"/>
  <sheetViews>
    <sheetView workbookViewId="0"/>
  </sheetViews>
  <sheetFormatPr defaultRowHeight="15.75"/>
  <cols>
    <col min="1" max="3" width="40.7109375" customWidth="1"/>
  </cols>
  <sheetData>
    <row r="1" spans="1:3">
      <c r="A1" t="s">
        <v>30</v>
      </c>
      <c r="B1" t="s">
        <v>31</v>
      </c>
      <c r="C1" t="s">
        <v>28</v>
      </c>
    </row>
    <row r="2" spans="1:3">
      <c r="A2" t="s">
        <v>23</v>
      </c>
      <c r="B2" t="s">
        <v>172</v>
      </c>
      <c r="C2" t="s">
        <v>209</v>
      </c>
    </row>
    <row r="3" spans="1:3">
      <c r="A3" t="s">
        <v>34</v>
      </c>
      <c r="B3" t="s">
        <v>173</v>
      </c>
      <c r="C3" t="s">
        <v>210</v>
      </c>
    </row>
    <row r="4" spans="1:3">
      <c r="A4" t="s">
        <v>24</v>
      </c>
      <c r="B4" t="s">
        <v>174</v>
      </c>
      <c r="C4" t="s">
        <v>211</v>
      </c>
    </row>
    <row r="5" spans="1:3">
      <c r="A5" t="s">
        <v>25</v>
      </c>
      <c r="B5" t="s">
        <v>175</v>
      </c>
      <c r="C5" t="s">
        <v>29</v>
      </c>
    </row>
    <row r="6" spans="1:3">
      <c r="A6" t="s">
        <v>26</v>
      </c>
      <c r="B6" t="s">
        <v>176</v>
      </c>
      <c r="C6" t="s">
        <v>212</v>
      </c>
    </row>
    <row r="7" spans="1:3">
      <c r="A7" t="s">
        <v>27</v>
      </c>
      <c r="B7" t="s">
        <v>177</v>
      </c>
      <c r="C7" t="s">
        <v>213</v>
      </c>
    </row>
    <row r="8" spans="1:3">
      <c r="A8" s="37" t="s">
        <v>68</v>
      </c>
      <c r="B8" s="37" t="s">
        <v>178</v>
      </c>
      <c r="C8" s="37" t="s">
        <v>130</v>
      </c>
    </row>
    <row r="9" spans="1:3">
      <c r="A9" t="s">
        <v>69</v>
      </c>
      <c r="B9" t="s">
        <v>179</v>
      </c>
      <c r="C9" t="s">
        <v>133</v>
      </c>
    </row>
    <row r="10" spans="1:3">
      <c r="A10" t="s">
        <v>128</v>
      </c>
      <c r="B10" t="s">
        <v>180</v>
      </c>
      <c r="C10" t="s">
        <v>214</v>
      </c>
    </row>
    <row r="11" spans="1:3">
      <c r="A11" t="s">
        <v>189</v>
      </c>
      <c r="B11" t="s">
        <v>186</v>
      </c>
      <c r="C11" t="s">
        <v>215</v>
      </c>
    </row>
    <row r="12" spans="1:3">
      <c r="A12" t="s">
        <v>190</v>
      </c>
      <c r="B12" t="s">
        <v>187</v>
      </c>
      <c r="C12" t="s">
        <v>216</v>
      </c>
    </row>
    <row r="13" spans="1:3">
      <c r="A13" t="s">
        <v>191</v>
      </c>
      <c r="B13" t="s">
        <v>188</v>
      </c>
      <c r="C13" t="s">
        <v>217</v>
      </c>
    </row>
    <row r="14" spans="1:3">
      <c r="A14" t="s">
        <v>132</v>
      </c>
      <c r="B14" t="s">
        <v>181</v>
      </c>
      <c r="C14" t="s">
        <v>192</v>
      </c>
    </row>
    <row r="15" spans="1:3">
      <c r="A15" s="37" t="s">
        <v>222</v>
      </c>
      <c r="B15" s="37" t="s">
        <v>223</v>
      </c>
      <c r="C15" s="37" t="s">
        <v>224</v>
      </c>
    </row>
  </sheetData>
  <phoneticPr fontId="8"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65A8325093728D41B2A3D05E0CE16AF4" ma:contentTypeVersion="0" ma:contentTypeDescription="Create a new document." ma:contentTypeScope="" ma:versionID="09773965fe6ca2a54823a7b3a6e22ac9">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p:properties xmlns:p="http://schemas.microsoft.com/office/2006/metadata/properties" xmlns:xsi="http://www.w3.org/2001/XMLSchema-instance">
  <documentManagement/>
</p:properties>
</file>

<file path=customXml/itemProps1.xml><?xml version="1.0" encoding="utf-8"?>
<ds:datastoreItem xmlns:ds="http://schemas.openxmlformats.org/officeDocument/2006/customXml" ds:itemID="{EA8460E6-3E19-4487-87B5-60B9439F19C2}">
  <ds:schemaRefs>
    <ds:schemaRef ds:uri="http://schemas.microsoft.com/sharepoint/v3/contenttype/forms"/>
  </ds:schemaRefs>
</ds:datastoreItem>
</file>

<file path=customXml/itemProps2.xml><?xml version="1.0" encoding="utf-8"?>
<ds:datastoreItem xmlns:ds="http://schemas.openxmlformats.org/officeDocument/2006/customXml" ds:itemID="{5B1C371B-E44D-49EC-AF61-31DD99B5C0F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BAB38CFD-6905-4300-8D1C-1B391F65AE95}">
  <ds:schemaRefs>
    <ds:schemaRef ds:uri="http://schemas.microsoft.com/office/2006/documentManagement/types"/>
    <ds:schemaRef ds:uri="http://purl.org/dc/elements/1.1/"/>
    <ds:schemaRef ds:uri="http://purl.org/dc/terms/"/>
    <ds:schemaRef ds:uri="http://purl.org/dc/dcmitype/"/>
    <ds:schemaRef ds:uri="http://www.w3.org/XML/1998/namespace"/>
    <ds:schemaRef ds:uri="http://schemas.microsoft.com/office/2006/metadata/properties"/>
    <ds:schemaRef ds:uri="http://schemas.openxmlformats.org/package/2006/metadata/core-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16</vt:i4>
      </vt:variant>
    </vt:vector>
  </HeadingPairs>
  <TitlesOfParts>
    <vt:vector size="16" baseType="lpstr">
      <vt:lpstr>6755_1.14.0.06_catmp_METAnoBCCT</vt:lpstr>
      <vt:lpstr>6755_1.14.0.06_catmp_PIPnoBCCT</vt:lpstr>
      <vt:lpstr>6755_1.14.0.06_catmp_VRGISnoBCT</vt:lpstr>
      <vt:lpstr>6755_1.14.0.06_catmp_WFDnoBCCT</vt:lpstr>
      <vt:lpstr>6755_1.14.0.06_catmp_engnoBCCT</vt:lpstr>
      <vt:lpstr>6755_1.14.0.06_catmpno_BCCT</vt:lpstr>
      <vt:lpstr>6755_1.14.0.06_catmp_META</vt:lpstr>
      <vt:lpstr>6755_1.14.0.06_catmp_PIP</vt:lpstr>
      <vt:lpstr>6755_1.14.0.06_catmp_VRGIS</vt:lpstr>
      <vt:lpstr>6755_1.14.0.06_catmp_WFD</vt:lpstr>
      <vt:lpstr>6755_1.14.0.06_catmp_eng</vt:lpstr>
      <vt:lpstr>6755_1.14.0.06_catmp</vt:lpstr>
      <vt:lpstr>6755_1.14.0.06_tp</vt:lpstr>
      <vt:lpstr>6755_1.14.0.06_ht</vt:lpstr>
      <vt:lpstr>6755_coolers</vt:lpstr>
      <vt:lpstr>6755_tz</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2015-09-15T15:37:39Z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