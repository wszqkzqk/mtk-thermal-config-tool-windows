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315" yWindow="30" windowWidth="13980" windowHeight="11040"/>
  </bookViews>
  <sheets>
    <sheet name="6735_1.10.0.00_catm" sheetId="177" r:id="rId1"/>
    <sheet name="6735_1.10.0.00_tp" sheetId="157" r:id="rId2"/>
    <sheet name="6735_1.10.0.00_ht" sheetId="158" r:id="rId3"/>
    <sheet name="6735_coolers" sheetId="150" r:id="rId4"/>
    <sheet name="6735_tz" sheetId="125" r:id="rId5"/>
  </sheets>
  <functionGroups/>
  <externalReferences>
    <externalReference r:id="rId6"/>
    <externalReference r:id="rId7"/>
  </externalReferences>
  <calcPr calcId="125725"/>
</workbook>
</file>

<file path=xl/calcChain.xml><?xml version="1.0" encoding="utf-8"?>
<calcChain xmlns="http://schemas.openxmlformats.org/spreadsheetml/2006/main">
  <c r="AZ88" i="177"/>
  <c r="AZ87" s="1"/>
  <c r="AZ86"/>
  <c r="AZ85" s="1"/>
</calcChain>
</file>

<file path=xl/sharedStrings.xml><?xml version="1.0" encoding="utf-8"?>
<sst xmlns="http://schemas.openxmlformats.org/spreadsheetml/2006/main" count="5114" uniqueCount="237">
  <si>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</si>
  <si>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</si>
  <si>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</si>
  <si>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</si>
  <si>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</si>
  <si>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</si>
  <si>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</si>
  <si>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</si>
  <si>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</si>
  <si>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</si>
  <si>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</si>
  <si>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</si>
  <si>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</si>
  <si>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</si>
  <si>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</si>
  <si>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</si>
  <si>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</si>
  <si>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</si>
  <si>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</si>
  <si>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</si>
  <si>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</si>
  <si>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</si>
  <si>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</si>
  <si>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</si>
  <si>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</si>
  <si>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</si>
  <si>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</si>
  <si>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</si>
  <si>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</si>
  <si>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</si>
  <si>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</si>
  <si>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</si>
  <si>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</si>
  <si>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</si>
  <si>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</si>
  <si>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</si>
  <si>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</si>
  <si>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</si>
  <si>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</si>
  <si>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</si>
  <si>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</si>
  <si>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</si>
  <si>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</si>
  <si>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</si>
  <si>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</si>
  <si>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</si>
  <si>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</si>
  <si>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</si>
  <si>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</si>
  <si>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</si>
  <si>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</si>
  <si>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</si>
  <si>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</si>
  <si>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</si>
  <si>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</si>
  <si>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</si>
  <si>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</si>
  <si>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</si>
  <si>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</si>
  <si>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</si>
  <si>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</si>
  <si>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</si>
  <si>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</si>
  <si>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</si>
  <si>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</si>
  <si>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</si>
  <si>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</si>
  <si>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</si>
  <si>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</si>
  <si>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</si>
  <si>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</si>
  <si>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</si>
  <si>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</si>
  <si>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</si>
  <si>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</si>
  <si>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</si>
  <si>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</si>
  <si>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</si>
  <si>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</si>
  <si>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</si>
  <si>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</si>
  <si>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</si>
  <si>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</si>
  <si>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</si>
  <si>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</si>
  <si>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</si>
  <si>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</si>
  <si>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</si>
  <si>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</si>
  <si>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</si>
  <si>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</si>
  <si>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</si>
  <si>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</si>
  <si>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</si>
  <si>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</si>
  <si>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</si>
  <si>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</si>
  <si>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</si>
  <si>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</si>
  <si>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</si>
  <si>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</si>
  <si>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</si>
  <si>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</si>
  <si>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</si>
  <si>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</si>
  <si>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</si>
  <si>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</si>
  <si>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</si>
  <si>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</si>
  <si>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</si>
  <si>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</si>
  <si>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</si>
  <si>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</si>
  <si>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</si>
  <si>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</si>
  <si>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</si>
  <si>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</si>
  <si>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</si>
  <si>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</si>
  <si>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</si>
  <si>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</si>
  <si>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</si>
  <si>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</si>
  <si>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</si>
  <si>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</si>
  <si>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</si>
  <si>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</si>
  <si>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</si>
  <si>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TS inside MT6169 and may near PA</t>
  </si>
  <si>
    <t>TS inside MT6630</t>
  </si>
  <si>
    <t>mtkts1</t>
  </si>
  <si>
    <t>mtkts3</t>
  </si>
  <si>
    <t>mtkts4</t>
  </si>
  <si>
    <t>AP NTC aka BTS</t>
  </si>
  <si>
    <t>EXIT</t>
  </si>
  <si>
    <t>mtktsbtsmdpa</t>
  </si>
  <si>
    <t>TS inside MT6311 IC</t>
  </si>
  <si>
    <t>TS inside MT6325 IC</t>
  </si>
  <si>
    <t>390000</t>
  </si>
  <si>
    <t>4251000</t>
  </si>
  <si>
    <t>6</t>
  </si>
  <si>
    <t>mtkts5</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</si>
  <si>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</si>
  <si>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</si>
  <si>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</si>
  <si>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</si>
  <si>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</si>
  <si>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</si>
  <si>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</si>
  <si>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</si>
  <si>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</si>
  <si>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</si>
  <si>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</si>
  <si>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</si>
  <si>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</si>
  <si>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</si>
  <si>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</si>
  <si>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</si>
  <si>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</si>
  <si>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</si>
  <si>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</si>
  <si>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</si>
  <si>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</si>
  <si>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</si>
  <si>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</si>
  <si>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</si>
  <si>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</si>
  <si>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</si>
  <si>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</si>
  <si>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</si>
  <si>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</si>
  <si>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</si>
  <si>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</si>
  <si>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</si>
  <si>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</si>
  <si>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</si>
  <si>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</si>
  <si>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</si>
  <si>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</si>
  <si>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</si>
  <si>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</si>
  <si>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</si>
  <si>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</si>
  <si>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</si>
  <si>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</si>
  <si>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</si>
  <si>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</si>
  <si>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</si>
  <si>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Max temp in MT6735 TS</t>
    <phoneticPr fontId="9" type="noConversion"/>
  </si>
  <si>
    <t>TS2 Inside MT6735 IC near ABB</t>
    <phoneticPr fontId="9" type="noConversion"/>
  </si>
  <si>
    <t>TS1 inside MT6735 IC</t>
    <phoneticPr fontId="9" type="noConversion"/>
  </si>
  <si>
    <t>TS3 inside MT6735 IC</t>
    <phoneticPr fontId="9" type="noConversion"/>
  </si>
  <si>
    <t>TS4 inside MT6735 IC</t>
    <phoneticPr fontId="9" type="noConversion"/>
  </si>
  <si>
    <t>NULL</t>
    <phoneticPr fontId="9" type="noConversion"/>
  </si>
  <si>
    <t>1600</t>
    <phoneticPr fontId="9" type="noConversion"/>
  </si>
  <si>
    <t>410</t>
    <phoneticPr fontId="9" type="noConversion"/>
  </si>
  <si>
    <t>900</t>
    <phoneticPr fontId="9" type="noConversion"/>
  </si>
  <si>
    <t>mtk-cl-cam00</t>
    <phoneticPr fontId="9" type="noConversion"/>
  </si>
  <si>
    <t>/proc/driver/cl_cam</t>
    <phoneticPr fontId="9" type="noConversion"/>
  </si>
  <si>
    <t>mtk-cl-kshutdown00</t>
    <phoneticPr fontId="9" type="noConversion"/>
  </si>
  <si>
    <t>mtk-cl-shutdown02</t>
    <phoneticPr fontId="9" type="noConversion"/>
  </si>
  <si>
    <t>/proc/driver/thermal/tzts2</t>
    <phoneticPr fontId="9" type="noConversion"/>
  </si>
  <si>
    <t>/proc/driver/thermal/tzts3</t>
    <phoneticPr fontId="9" type="noConversion"/>
  </si>
  <si>
    <t>/proc/driver/thermal/tzts4</t>
    <phoneticPr fontId="9" type="noConversion"/>
  </si>
  <si>
    <t>mtkts2</t>
    <phoneticPr fontId="9" type="noConversion"/>
  </si>
  <si>
    <t>mtkts3</t>
    <phoneticPr fontId="9" type="noConversion"/>
  </si>
  <si>
    <t>mtkts4</t>
    <phoneticPr fontId="9" type="noConversion"/>
  </si>
  <si>
    <t>TS2 inside MT6735 IC</t>
    <phoneticPr fontId="9" type="noConversion"/>
  </si>
  <si>
    <t>NTC nearby PA</t>
    <phoneticPr fontId="9" type="noConversion"/>
  </si>
  <si>
    <t>ctm</t>
  </si>
  <si>
    <t>ctm on</t>
  </si>
  <si>
    <t>Target Tj 0</t>
  </si>
  <si>
    <t>85000</t>
  </si>
  <si>
    <t>Target Tj 2</t>
  </si>
  <si>
    <t>Tpcb 1</t>
  </si>
  <si>
    <t>Exit Tj 0</t>
  </si>
  <si>
    <t>Exit Tj 2</t>
  </si>
  <si>
    <t>Enter_a</t>
  </si>
  <si>
    <t>Enter_b</t>
  </si>
  <si>
    <t>Exit_a</t>
  </si>
  <si>
    <t>Exit_b</t>
  </si>
  <si>
    <t>Tpcb 2</t>
    <phoneticPr fontId="9" type="noConversion"/>
  </si>
  <si>
    <t>ctm</t>
    <phoneticPr fontId="9" type="noConversion"/>
  </si>
  <si>
    <t>/proc/driver/thermal/clctm</t>
  </si>
  <si>
    <t>mtk-cl-bcct00</t>
    <phoneticPr fontId="9" type="noConversion"/>
  </si>
  <si>
    <t>mtk-cl-bcct02</t>
    <phoneticPr fontId="9" type="noConversion"/>
  </si>
  <si>
    <t>mtk-cl-bcct01</t>
    <phoneticPr fontId="9" type="noConversion"/>
  </si>
  <si>
    <t>1</t>
    <phoneticPr fontId="9" type="noConversion"/>
  </si>
  <si>
    <t>1500</t>
    <phoneticPr fontId="9" type="noConversion"/>
  </si>
  <si>
    <t>66000</t>
    <phoneticPr fontId="9" type="noConversion"/>
  </si>
  <si>
    <t>34999</t>
    <phoneticPr fontId="9" type="noConversion"/>
  </si>
  <si>
    <t>38999</t>
    <phoneticPr fontId="9" type="noConversion"/>
  </si>
  <si>
    <t>60000</t>
    <phoneticPr fontId="9" type="noConversion"/>
  </si>
  <si>
    <t>70000</t>
    <phoneticPr fontId="9" type="noConversion"/>
  </si>
  <si>
    <t>200</t>
    <phoneticPr fontId="9" type="noConversion"/>
  </si>
  <si>
    <t>600</t>
    <phoneticPr fontId="9" type="noConversion"/>
  </si>
  <si>
    <t>550</t>
    <phoneticPr fontId="9" type="noConversion"/>
  </si>
</sst>
</file>

<file path=xl/styles.xml><?xml version="1.0" encoding="utf-8"?>
<styleSheet xmlns="http://schemas.openxmlformats.org/spreadsheetml/2006/main">
  <fonts count="13">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11"/>
      <color rgb="FF000000"/>
      <name val="Calibri"/>
      <family val="2"/>
    </font>
    <font>
      <sz val="9"/>
      <name val="新細明體"/>
      <family val="3"/>
      <charset val="136"/>
      <scheme val="minor"/>
    </font>
    <font>
      <sz val="10"/>
      <color rgb="FFFF0000"/>
      <name val="新細明體"/>
      <family val="1"/>
      <charset val="136"/>
      <scheme val="minor"/>
    </font>
    <font>
      <sz val="10"/>
      <color rgb="FFFF0000"/>
      <name val="新細明體"/>
      <family val="1"/>
      <charset val="136"/>
    </font>
    <font>
      <sz val="10"/>
      <color rgb="FF000000"/>
      <name val="新細明體"/>
      <family val="1"/>
      <charset val="136"/>
    </font>
  </fonts>
  <fills count="6">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A5A5A5"/>
        <bgColor indexed="64"/>
      </patternFill>
    </fill>
  </fills>
  <borders count="23">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medium">
        <color rgb="FFD8D8D8"/>
      </right>
      <top/>
      <bottom style="medium">
        <color rgb="FFD8D8D8"/>
      </bottom>
      <diagonal/>
    </border>
    <border>
      <left/>
      <right style="medium">
        <color rgb="FF404040"/>
      </right>
      <top/>
      <bottom style="medium">
        <color rgb="FFD8D8D8"/>
      </bottom>
      <diagonal/>
    </border>
    <border>
      <left/>
      <right style="medium">
        <color rgb="FFD8D8D8"/>
      </right>
      <top style="medium">
        <color rgb="FFD8D8D8"/>
      </top>
      <bottom style="medium">
        <color rgb="FFD8D8D8"/>
      </bottom>
      <diagonal/>
    </border>
    <border>
      <left/>
      <right style="medium">
        <color rgb="FF404040"/>
      </right>
      <top style="medium">
        <color rgb="FFD8D8D8"/>
      </top>
      <bottom style="medium">
        <color rgb="FFD8D8D8"/>
      </bottom>
      <diagonal/>
    </border>
  </borders>
  <cellStyleXfs count="1">
    <xf numFmtId="0" fontId="0" fillId="0" borderId="0"/>
  </cellStyleXfs>
  <cellXfs count="61">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0" fontId="10" fillId="4" borderId="5" xfId="0" applyFont="1" applyFill="1" applyBorder="1" applyAlignment="1" applyProtection="1">
      <alignment horizontal="center" vertical="center"/>
      <protection locked="0"/>
    </xf>
    <xf numFmtId="0" fontId="10" fillId="4" borderId="7" xfId="0" applyFont="1" applyFill="1" applyBorder="1" applyAlignment="1" applyProtection="1">
      <alignment horizontal="left"/>
      <protection locked="0"/>
    </xf>
    <xf numFmtId="49" fontId="10" fillId="4" borderId="7" xfId="0" applyNumberFormat="1" applyFont="1" applyFill="1" applyBorder="1" applyAlignment="1" applyProtection="1">
      <alignment horizontal="left"/>
      <protection locked="0"/>
    </xf>
    <xf numFmtId="1" fontId="10" fillId="4" borderId="7" xfId="0" applyNumberFormat="1" applyFont="1" applyFill="1" applyBorder="1" applyAlignment="1" applyProtection="1">
      <alignment horizontal="left"/>
      <protection locked="0"/>
    </xf>
    <xf numFmtId="0" fontId="10" fillId="4" borderId="7" xfId="0" applyFont="1" applyFill="1" applyBorder="1" applyAlignment="1" applyProtection="1">
      <alignment horizontal="left"/>
    </xf>
    <xf numFmtId="49" fontId="7" fillId="4" borderId="7" xfId="0" applyNumberFormat="1" applyFont="1" applyFill="1" applyBorder="1" applyAlignment="1" applyProtection="1">
      <alignment horizontal="left"/>
      <protection locked="0"/>
    </xf>
    <xf numFmtId="0" fontId="11" fillId="5" borderId="19" xfId="0" applyFont="1" applyFill="1" applyBorder="1" applyAlignment="1">
      <alignment horizontal="center"/>
    </xf>
    <xf numFmtId="0" fontId="11" fillId="5" borderId="20" xfId="0" applyFont="1" applyFill="1" applyBorder="1" applyAlignment="1">
      <alignment horizontal="center"/>
    </xf>
    <xf numFmtId="0" fontId="11" fillId="5" borderId="21" xfId="0" applyFont="1" applyFill="1" applyBorder="1" applyAlignment="1">
      <alignment horizontal="center"/>
    </xf>
    <xf numFmtId="0" fontId="11" fillId="5" borderId="22" xfId="0" applyFont="1" applyFill="1" applyBorder="1" applyAlignment="1">
      <alignment horizontal="center"/>
    </xf>
    <xf numFmtId="0" fontId="12" fillId="5" borderId="19" xfId="0" applyFont="1" applyFill="1" applyBorder="1" applyAlignment="1">
      <alignment horizontal="center"/>
    </xf>
    <xf numFmtId="0" fontId="12" fillId="5" borderId="20" xfId="0" applyFont="1" applyFill="1" applyBorder="1" applyAlignment="1">
      <alignment horizontal="center"/>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95_thermal_config_2007_V1.10.1.03_MTKonl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95_1.10.1.03_atm_ctm"/>
      <sheetName val="6795_1.10.1.03_atm_ctm (2)"/>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9" totalsRowShown="0">
  <autoFilter ref="A1:C69"/>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66"/>
  <dimension ref="A1:BA122"/>
  <sheetViews>
    <sheetView tabSelected="1" zoomScaleNormal="100" workbookViewId="0">
      <selection activeCell="AI25" sqref="AI2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204</v>
      </c>
      <c r="AR1" s="4" t="s">
        <v>36</v>
      </c>
      <c r="AS1" s="6"/>
      <c r="AT1" s="2" t="s">
        <v>35</v>
      </c>
      <c r="AU1" s="3" t="s">
        <v>205</v>
      </c>
      <c r="AV1" s="4" t="s">
        <v>36</v>
      </c>
      <c r="AW1" s="6"/>
      <c r="AX1" s="2" t="s">
        <v>35</v>
      </c>
      <c r="AY1" s="3" t="s">
        <v>141</v>
      </c>
      <c r="AZ1" s="4" t="s">
        <v>37</v>
      </c>
      <c r="BA1"/>
    </row>
    <row r="2" spans="1:53" ht="30.75" customHeight="1">
      <c r="B2" s="2" t="s">
        <v>9</v>
      </c>
      <c r="C2" s="3">
        <v>3</v>
      </c>
      <c r="D2" s="8"/>
      <c r="E2" s="9"/>
      <c r="F2" s="2" t="s">
        <v>9</v>
      </c>
      <c r="G2" s="3">
        <v>1</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200</v>
      </c>
      <c r="AF5" s="14"/>
      <c r="AG5" s="10"/>
      <c r="AH5" s="12" t="s">
        <v>5</v>
      </c>
      <c r="AI5" s="13" t="s">
        <v>200</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50000</v>
      </c>
      <c r="AB10" s="14"/>
      <c r="AC10" s="10"/>
      <c r="AD10" s="12" t="s">
        <v>7</v>
      </c>
      <c r="AE10" s="13">
        <v>0</v>
      </c>
      <c r="AF10" s="14"/>
      <c r="AG10" s="10"/>
      <c r="AH10" s="12" t="s">
        <v>7</v>
      </c>
      <c r="AI10" s="44">
        <v>62999</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225</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13">
        <v>66000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48000</v>
      </c>
      <c r="AB17" s="14"/>
      <c r="AC17" s="10"/>
      <c r="AD17" s="12" t="s">
        <v>7</v>
      </c>
      <c r="AE17" s="13">
        <v>0</v>
      </c>
      <c r="AF17" s="14"/>
      <c r="AG17" s="10"/>
      <c r="AH17" s="12" t="s">
        <v>7</v>
      </c>
      <c r="AI17" s="57">
        <v>60999</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226</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58999</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224</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222</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1</v>
      </c>
      <c r="AK78"/>
      <c r="AL78" s="35" t="s">
        <v>38</v>
      </c>
      <c r="AM78" s="36" t="s">
        <v>152</v>
      </c>
      <c r="AN78" s="36">
        <v>1</v>
      </c>
      <c r="AO78"/>
      <c r="AP78" s="35" t="s">
        <v>38</v>
      </c>
      <c r="AQ78" s="36" t="s">
        <v>152</v>
      </c>
      <c r="AR78" s="36">
        <v>2</v>
      </c>
      <c r="AS78"/>
      <c r="AT78" s="35" t="s">
        <v>38</v>
      </c>
      <c r="AU78" s="36" t="s">
        <v>152</v>
      </c>
      <c r="AV78" s="36">
        <v>3</v>
      </c>
      <c r="AW78"/>
      <c r="AX78" s="35" t="s">
        <v>38</v>
      </c>
      <c r="AY78" s="50" t="s">
        <v>210</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38" t="s">
        <v>228</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211</v>
      </c>
      <c r="AZ79" s="51" t="s">
        <v>212</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213</v>
      </c>
      <c r="AZ80" s="51" t="s">
        <v>229</v>
      </c>
      <c r="BA80"/>
    </row>
    <row r="81" spans="1:53" s="7" customFormat="1" ht="15.7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214</v>
      </c>
      <c r="AZ81" s="51" t="s">
        <v>230</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227</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221</v>
      </c>
      <c r="AZ82" s="51" t="s">
        <v>231</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4" t="s">
        <v>236</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215</v>
      </c>
      <c r="AZ83" s="51" t="s">
        <v>233</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38" t="s">
        <v>228</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216</v>
      </c>
      <c r="AZ84" s="51" t="s">
        <v>232</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38" t="s">
        <v>234</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217</v>
      </c>
      <c r="AZ85" s="52">
        <f>ROUND(AZ80+AZ86*AZ82/1000, 0)</f>
        <v>251245</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38" t="s">
        <v>235</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218</v>
      </c>
      <c r="AZ86" s="52">
        <f>ROUND((AZ79-AZ80)*1000/(AZ82-AZ81),0)</f>
        <v>4750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219</v>
      </c>
      <c r="AZ87" s="52">
        <f>ROUND(AZ84+AZ88*AZ82/1000,0)</f>
        <v>157498</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220</v>
      </c>
      <c r="AZ88" s="52">
        <f>ROUND((AZ83-AZ84)*1000/(AZ82-AZ81),0)</f>
        <v>2500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qref="AA12 AA19 AA26">
      <formula1>'[1]6595_coolers'!A2:A136</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AY20:AY22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AI14:AI15 AA55:AA57 AA48:AA50 AA6:AA8 AA41:AA43 AA34:AA36 AY62:AY64 AA69:AA71 AY69:AY71 AA62:AA64 AI55:AI57 AI48:AI50 AI41:AI43 AI34:AI36 AY13:AY15 K13:K15 AI69:AI71 C41:C43 AI62:AI64 AI6:AI8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C6:C8 C13:C15 C20:C22">
      <formula1>"NULL, CPU0 loading(%), Wifi usage(Kb/s), EXIT, mtktscpu, mtktsabb, mtktspmic, mtktsbattery, mtktspa, mtktswmt, mtktsAP, mtktsbuck, mtktsbattery2, mtktsxtal"</formula1>
    </dataValidation>
    <dataValidation type="list" allowBlank="1" showInputMessage="1" showErrorMessage="1" sqref="AZ77 AJ77 H1 T1 X1 P1 L1 X77 AB1 AN1 AR1 H77 T77 AF1 L77 AB77 P77 D77 AV1 AZ1 AV77 AF77 AJ1 AN77 AR77 D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E1 AI1 G1 AY1 O1 S1 W1 AA1 K1 AM1 AQ1 AU1 C1">
      <formula1>'6735_tz'!A2:A97</formula1>
    </dataValidation>
    <dataValidation type="list" allowBlank="1" showInputMessage="1" sqref="AE61 AE47 AE40 AE33 AE26 AE19 AE12 AE68 AE5 AY5 AY47 C33 C47 C54 C61 C68 G12 G5 G19 G26 G33 G40 G47 G54 G61 G68 AY19 K12 AY26 K26 K33 K40 K47 K54 K61 K68 O12 O5 O19 O26 O33 O40 O47 O54 O61 O68 S12 S5 S19 S26 S33 S40 S47 S54 S61 S68 W12 W5 W19 W26 W33 W40 W47 W54 W61 W68 C40 AI5 AY40 AA68 AA61 AA54 AA47 AA40 AA33 AY12 AY68 C26 AA5 AI61 AI54 AI47 AI40 AI33 AY33 K19 AE54 AI68 AQ5 AM61 AM54 AM47 AM40 AM33 AM26 AM19 AM12 AM68 K5 AQ61 AQ54 AQ47 AQ40 AQ33 AQ26 AQ19 AQ12 AQ68 AM5 AU61 AU54 AU47 AU40 AU33 AU26 AU19 AU12 AU68 AU5 AY61 AY54 C5 C12 C19">
      <formula1>'6735_coolers'!A2:A134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8"/>
  <dimension ref="A1:BA122"/>
  <sheetViews>
    <sheetView zoomScale="85" zoomScaleNormal="85" workbookViewId="0">
      <selection activeCell="C3" sqref="C3"/>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4</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50000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200000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193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193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193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193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193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193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193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193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8">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AV77 AF77 AJ77 AN77 AR77">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'6735_tz'!A2:A97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'6735_coolers'!A2:A134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9"/>
  <dimension ref="A1:BA122"/>
  <sheetViews>
    <sheetView topLeftCell="A16" zoomScale="85" zoomScaleNormal="85" zoomScaleSheetLayoutView="100" workbookViewId="0">
      <selection activeCell="R21" sqref="R21"/>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howErrorMessage="1" sqref="L77 P77 T77 AB77 X77 AJ1 AF1 D77 H77 AR1 AN1 L1 P1 X1 T1 H1 D1 AB1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'6735_coolers'!A2:A134</formula1>
    </dataValidation>
    <dataValidation type="list" allowBlank="1" showInputMessage="1" showErrorMessage="1" sqref="AE1 AU1 AQ1 AM1 AI1 AA1 W1 S1 O1 K1 G1 C1 AY1">
      <formula1>'6735_tz'!A2:A97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'[2]6752_coolers'!A2:A134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dimension ref="A1:C69"/>
  <sheetViews>
    <sheetView topLeftCell="A39" workbookViewId="0">
      <selection activeCell="B52" sqref="B52"/>
    </sheetView>
  </sheetViews>
  <sheetFormatPr defaultRowHeight="15.7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199</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169</v>
      </c>
    </row>
    <row r="53" spans="1:3">
      <c r="A53" s="39" t="s">
        <v>112</v>
      </c>
      <c r="B53" t="s">
        <v>169</v>
      </c>
    </row>
    <row r="54" spans="1:3">
      <c r="A54" s="39" t="s">
        <v>113</v>
      </c>
      <c r="B54" t="s">
        <v>169</v>
      </c>
    </row>
    <row r="55" spans="1:3">
      <c r="A55" s="39" t="s">
        <v>19</v>
      </c>
      <c r="B55" t="s">
        <v>170</v>
      </c>
    </row>
    <row r="56" spans="1:3">
      <c r="A56" s="40" t="s">
        <v>114</v>
      </c>
      <c r="B56" s="37" t="s">
        <v>170</v>
      </c>
      <c r="C56" s="37"/>
    </row>
    <row r="57" spans="1:3">
      <c r="A57" s="39" t="s">
        <v>51</v>
      </c>
      <c r="B57" t="s">
        <v>171</v>
      </c>
      <c r="C57" s="37"/>
    </row>
    <row r="58" spans="1:3">
      <c r="A58" s="39" t="s">
        <v>52</v>
      </c>
      <c r="B58" t="s">
        <v>171</v>
      </c>
      <c r="C58" s="37"/>
    </row>
    <row r="59" spans="1:3">
      <c r="A59" s="39" t="s">
        <v>53</v>
      </c>
      <c r="B59" t="s">
        <v>171</v>
      </c>
      <c r="C59" s="37"/>
    </row>
    <row r="60" spans="1:3">
      <c r="A60" s="39" t="s">
        <v>68</v>
      </c>
      <c r="B60" t="s">
        <v>172</v>
      </c>
      <c r="C60" s="37"/>
    </row>
    <row r="61" spans="1:3">
      <c r="A61" s="39" t="s">
        <v>135</v>
      </c>
      <c r="B61" t="s">
        <v>173</v>
      </c>
      <c r="C61" s="37"/>
    </row>
    <row r="62" spans="1:3">
      <c r="A62" s="39" t="s">
        <v>148</v>
      </c>
      <c r="B62" t="s">
        <v>174</v>
      </c>
      <c r="C62" s="37"/>
    </row>
    <row r="63" spans="1:3">
      <c r="A63" s="40" t="s">
        <v>166</v>
      </c>
      <c r="B63" s="37" t="s">
        <v>174</v>
      </c>
      <c r="C63" s="37"/>
    </row>
    <row r="64" spans="1:3">
      <c r="A64" s="40" t="s">
        <v>150</v>
      </c>
      <c r="B64" s="37" t="s">
        <v>175</v>
      </c>
      <c r="C64" s="37"/>
    </row>
    <row r="65" spans="1:3">
      <c r="A65" s="39" t="s">
        <v>149</v>
      </c>
      <c r="B65" t="s">
        <v>176</v>
      </c>
      <c r="C65" s="37"/>
    </row>
    <row r="66" spans="1:3">
      <c r="A66" s="39" t="s">
        <v>167</v>
      </c>
      <c r="B66" t="s">
        <v>176</v>
      </c>
      <c r="C66" s="37"/>
    </row>
    <row r="67" spans="1:3">
      <c r="A67" s="40" t="s">
        <v>168</v>
      </c>
      <c r="B67" s="37" t="s">
        <v>176</v>
      </c>
      <c r="C67" s="37"/>
    </row>
    <row r="68" spans="1:3">
      <c r="A68" s="40" t="s">
        <v>197</v>
      </c>
      <c r="B68" s="37" t="s">
        <v>198</v>
      </c>
      <c r="C68" s="37"/>
    </row>
    <row r="69" spans="1:3">
      <c r="A69" s="40" t="s">
        <v>209</v>
      </c>
      <c r="B69" s="37" t="s">
        <v>223</v>
      </c>
      <c r="C69" s="37"/>
    </row>
  </sheetData>
  <phoneticPr fontId="9"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4"/>
  <sheetViews>
    <sheetView workbookViewId="0">
      <selection activeCell="C31" sqref="C31"/>
    </sheetView>
  </sheetViews>
  <sheetFormatPr defaultRowHeight="15.75"/>
  <cols>
    <col min="1" max="3" width="40.7109375" customWidth="1"/>
  </cols>
  <sheetData>
    <row r="1" spans="1:3">
      <c r="A1" t="s">
        <v>30</v>
      </c>
      <c r="B1" t="s">
        <v>31</v>
      </c>
      <c r="C1" t="s">
        <v>28</v>
      </c>
    </row>
    <row r="2" spans="1:3">
      <c r="A2" t="s">
        <v>23</v>
      </c>
      <c r="B2" t="s">
        <v>177</v>
      </c>
      <c r="C2" t="s">
        <v>188</v>
      </c>
    </row>
    <row r="3" spans="1:3">
      <c r="A3" t="s">
        <v>34</v>
      </c>
      <c r="B3" t="s">
        <v>178</v>
      </c>
      <c r="C3" t="s">
        <v>189</v>
      </c>
    </row>
    <row r="4" spans="1:3">
      <c r="A4" t="s">
        <v>24</v>
      </c>
      <c r="B4" t="s">
        <v>179</v>
      </c>
      <c r="C4" t="s">
        <v>137</v>
      </c>
    </row>
    <row r="5" spans="1:3">
      <c r="A5" t="s">
        <v>25</v>
      </c>
      <c r="B5" t="s">
        <v>180</v>
      </c>
      <c r="C5" t="s">
        <v>29</v>
      </c>
    </row>
    <row r="6" spans="1:3">
      <c r="A6" t="s">
        <v>26</v>
      </c>
      <c r="B6" t="s">
        <v>181</v>
      </c>
      <c r="C6" t="s">
        <v>128</v>
      </c>
    </row>
    <row r="7" spans="1:3">
      <c r="A7" t="s">
        <v>27</v>
      </c>
      <c r="B7" t="s">
        <v>182</v>
      </c>
      <c r="C7" t="s">
        <v>129</v>
      </c>
    </row>
    <row r="8" spans="1:3">
      <c r="A8" s="37" t="s">
        <v>68</v>
      </c>
      <c r="B8" s="37" t="s">
        <v>183</v>
      </c>
      <c r="C8" s="37" t="s">
        <v>133</v>
      </c>
    </row>
    <row r="9" spans="1:3">
      <c r="A9" t="s">
        <v>69</v>
      </c>
      <c r="B9" t="s">
        <v>184</v>
      </c>
      <c r="C9" t="s">
        <v>136</v>
      </c>
    </row>
    <row r="10" spans="1:3">
      <c r="A10" t="s">
        <v>130</v>
      </c>
      <c r="B10" t="s">
        <v>185</v>
      </c>
      <c r="C10" t="s">
        <v>190</v>
      </c>
    </row>
    <row r="11" spans="1:3">
      <c r="A11" t="s">
        <v>204</v>
      </c>
      <c r="B11" t="s">
        <v>201</v>
      </c>
      <c r="C11" t="s">
        <v>207</v>
      </c>
    </row>
    <row r="12" spans="1:3">
      <c r="A12" t="s">
        <v>205</v>
      </c>
      <c r="B12" t="s">
        <v>202</v>
      </c>
      <c r="C12" t="s">
        <v>191</v>
      </c>
    </row>
    <row r="13" spans="1:3">
      <c r="A13" t="s">
        <v>206</v>
      </c>
      <c r="B13" t="s">
        <v>203</v>
      </c>
      <c r="C13" t="s">
        <v>192</v>
      </c>
    </row>
    <row r="14" spans="1:3">
      <c r="A14" t="s">
        <v>135</v>
      </c>
      <c r="B14" t="s">
        <v>186</v>
      </c>
      <c r="C14" t="s">
        <v>208</v>
      </c>
    </row>
  </sheetData>
  <phoneticPr fontId="9"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6735_1.10.0.00_catm</vt:lpstr>
      <vt:lpstr>6735_1.10.0.00_tp</vt:lpstr>
      <vt:lpstr>6735_1.10.0.00_ht</vt:lpstr>
      <vt:lpstr>6735_coolers</vt:lpstr>
      <vt:lpstr>6735_tz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2015-05-06T04:09:33Z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