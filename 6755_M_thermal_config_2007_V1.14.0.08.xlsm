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6.xml" ContentType="application/vnd.openxmlformats-officedocument.spreadsheetml.externalLink+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105" yWindow="-105" windowWidth="14730" windowHeight="11610" tabRatio="747" firstSheet="8" activeTab="8"/>
  </bookViews>
  <sheets>
    <sheet name="6755_1.14.0.06_catmp_METAnoBCCT" sheetId="204" r:id="rId1"/>
    <sheet name="6755_1.14.0.06_tp (2)" sheetId="210" r:id="rId2"/>
    <sheet name="6755_1.14.0.06_catmp_PIPnoBCCT" sheetId="205" r:id="rId3"/>
    <sheet name="6755_1.14.0.06_catmpVRGISnoBCTT" sheetId="206" r:id="rId4"/>
    <sheet name="6755_1.14.0.06_catmp_WFDnoBCCT" sheetId="207" r:id="rId5"/>
    <sheet name="6755_1.14.0.06_catmp_engnoBCCT" sheetId="208" r:id="rId6"/>
    <sheet name="6755_1.14.0.06_catmp_no_BCCT" sheetId="209" r:id="rId7"/>
    <sheet name="6755_1.14.0.06_catmp_META" sheetId="202" r:id="rId8"/>
    <sheet name="6755_1.14.0.06_catmp_PIP" sheetId="201" r:id="rId9"/>
    <sheet name="6755_1.14.0.06_catmp_VRGIS" sheetId="200" r:id="rId10"/>
    <sheet name="6755_1.14.0.06_catmp_WFD" sheetId="199" r:id="rId11"/>
    <sheet name="6755_1.14.0.06_catmp_eng" sheetId="198" r:id="rId12"/>
    <sheet name="6755_1.14.0.06_catmp" sheetId="197" r:id="rId13"/>
    <sheet name="6755_1.14.0.06_tp" sheetId="157" r:id="rId14"/>
    <sheet name="6755_1.14.0.06_ht" sheetId="158" r:id="rId15"/>
    <sheet name="6755_coolers" sheetId="150" r:id="rId16"/>
    <sheet name="6755_tz" sheetId="125" r:id="rId17"/>
  </sheets>
  <functionGroups/>
  <externalReferences>
    <externalReference r:id="rId18"/>
    <externalReference r:id="rId19"/>
    <externalReference r:id="rId20"/>
    <externalReference r:id="rId21"/>
    <externalReference r:id="rId22"/>
    <externalReference r:id="rId23"/>
  </externalReferences>
  <calcPr calcId="125725"/>
</workbook>
</file>

<file path=xl/calcChain.xml><?xml version="1.0" encoding="utf-8"?>
<calcChain xmlns="http://schemas.openxmlformats.org/spreadsheetml/2006/main">
  <c r="AZ88" i="210"/>
  <c r="AZ87" s="1"/>
  <c r="AZ86"/>
  <c r="AZ85" s="1"/>
  <c r="AZ88" i="209"/>
  <c r="AZ87" s="1"/>
  <c r="AZ86"/>
  <c r="AZ85" s="1"/>
  <c r="AZ88" i="208"/>
  <c r="AZ87" s="1"/>
  <c r="AZ86"/>
  <c r="AZ85" s="1"/>
  <c r="AZ88" i="207"/>
  <c r="AZ87" s="1"/>
  <c r="AZ86"/>
  <c r="AZ85" s="1"/>
  <c r="AZ88" i="206"/>
  <c r="AZ87" s="1"/>
  <c r="AZ86"/>
  <c r="AZ85" s="1"/>
  <c r="AZ88" i="205"/>
  <c r="AZ87" s="1"/>
  <c r="AZ86"/>
  <c r="AZ85" s="1"/>
  <c r="AZ88" i="204"/>
  <c r="AZ87" s="1"/>
  <c r="AZ86"/>
  <c r="AZ85" s="1"/>
  <c r="AZ88" i="202" l="1"/>
  <c r="AZ87" s="1"/>
  <c r="AZ86"/>
  <c r="AZ85" s="1"/>
  <c r="AZ88" i="201"/>
  <c r="AZ87" s="1"/>
  <c r="AZ86"/>
  <c r="AZ85" s="1"/>
  <c r="AZ88" i="200"/>
  <c r="AZ87" s="1"/>
  <c r="AZ86"/>
  <c r="AZ85" s="1"/>
  <c r="AZ88" i="199"/>
  <c r="AZ87" s="1"/>
  <c r="AZ86"/>
  <c r="AZ85" s="1"/>
  <c r="AZ88" i="198" l="1"/>
  <c r="AZ87" s="1"/>
  <c r="AZ86"/>
  <c r="AZ85" s="1"/>
  <c r="AZ88" i="158"/>
  <c r="AZ87"/>
  <c r="AZ86"/>
  <c r="AZ85" s="1"/>
  <c r="AZ88" i="157"/>
  <c r="AZ87" s="1"/>
  <c r="AZ86"/>
  <c r="AZ85" s="1"/>
  <c r="AZ88" i="197"/>
  <c r="AZ87" s="1"/>
  <c r="AZ86"/>
  <c r="AZ85" s="1"/>
</calcChain>
</file>

<file path=xl/sharedStrings.xml><?xml version="1.0" encoding="utf-8"?>
<sst xmlns="http://schemas.openxmlformats.org/spreadsheetml/2006/main" count="25758" uniqueCount="283">
  <si>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</si>
  <si>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</si>
  <si>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</si>
  <si>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</si>
  <si>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</si>
  <si>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</si>
  <si>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</si>
  <si>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</si>
  <si>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</si>
  <si>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</si>
  <si>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</si>
  <si>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</si>
  <si>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</si>
  <si>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</si>
  <si>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</si>
  <si>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</si>
  <si>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</si>
  <si>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</si>
  <si>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</si>
  <si>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</si>
  <si>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</si>
  <si>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</si>
  <si>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</si>
  <si>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</si>
  <si>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</si>
  <si>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</si>
  <si>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</si>
  <si>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</si>
  <si>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</si>
  <si>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</si>
  <si>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</si>
  <si>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</si>
  <si>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</si>
  <si>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</si>
  <si>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</si>
  <si>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</si>
  <si>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</si>
  <si>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</si>
  <si>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</si>
  <si>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</si>
  <si>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</si>
  <si>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</si>
  <si>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</si>
  <si>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</si>
  <si>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</si>
  <si>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</si>
  <si>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</si>
  <si>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</si>
  <si>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</si>
  <si>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</si>
  <si>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</si>
  <si>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</si>
  <si>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</si>
  <si>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</si>
  <si>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</si>
  <si>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</si>
  <si>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</si>
  <si>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</si>
  <si>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</si>
  <si>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</si>
  <si>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</si>
  <si>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</si>
  <si>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</si>
  <si>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</si>
  <si>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</si>
  <si>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</si>
  <si>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</si>
  <si>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</si>
  <si>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</si>
  <si>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</si>
  <si>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</si>
  <si>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</si>
  <si>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</si>
  <si>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</si>
  <si>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</si>
  <si>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</si>
  <si>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</si>
  <si>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</si>
  <si>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</si>
  <si>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</si>
  <si>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</si>
  <si>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</si>
  <si>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</si>
  <si>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</si>
  <si>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</si>
  <si>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</si>
  <si>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</si>
  <si>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</si>
  <si>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</si>
  <si>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</si>
  <si>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</si>
  <si>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</si>
  <si>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</si>
  <si>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</si>
  <si>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</si>
  <si>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</si>
  <si>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</si>
  <si>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</si>
  <si>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</si>
  <si>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</si>
  <si>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</si>
  <si>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</si>
  <si>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</si>
  <si>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</si>
  <si>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</si>
  <si>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</si>
  <si>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</si>
  <si>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</si>
  <si>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</si>
  <si>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</si>
  <si>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</si>
  <si>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</si>
  <si>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</si>
  <si>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</si>
  <si>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</si>
  <si>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</si>
  <si>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</si>
  <si>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</si>
  <si>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</si>
  <si>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</si>
  <si>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</si>
  <si>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</si>
  <si>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</si>
  <si>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</si>
  <si>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</si>
  <si>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</si>
  <si>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</si>
  <si>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</si>
  <si>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mtkts1</t>
  </si>
  <si>
    <t>mtkts4</t>
  </si>
  <si>
    <t>AP NTC aka BTS</t>
  </si>
  <si>
    <t>EXIT</t>
  </si>
  <si>
    <t>mtktsbtsmdpa</t>
  </si>
  <si>
    <t>TS inside MT6311 IC</t>
  </si>
  <si>
    <t>390000</t>
  </si>
  <si>
    <t>4251000</t>
  </si>
  <si>
    <t>6</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</si>
  <si>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</si>
  <si>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</si>
  <si>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</si>
  <si>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</si>
  <si>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</si>
  <si>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</si>
  <si>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</si>
  <si>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</si>
  <si>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</si>
  <si>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</si>
  <si>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</si>
  <si>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</si>
  <si>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</si>
  <si>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</si>
  <si>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</si>
  <si>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</si>
  <si>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</si>
  <si>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</si>
  <si>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</si>
  <si>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</si>
  <si>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</si>
  <si>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</si>
  <si>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</si>
  <si>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</si>
  <si>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</si>
  <si>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</si>
  <si>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</si>
  <si>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</si>
  <si>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</si>
  <si>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</si>
  <si>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</si>
  <si>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</si>
  <si>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</si>
  <si>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</si>
  <si>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</si>
  <si>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</si>
  <si>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</si>
  <si>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</si>
  <si>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</si>
  <si>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</si>
  <si>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</si>
  <si>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</si>
  <si>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</si>
  <si>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</si>
  <si>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</si>
  <si>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</si>
  <si>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mtk-cl-cam00</t>
    <phoneticPr fontId="8" type="noConversion"/>
  </si>
  <si>
    <t>/proc/driver/cl_cam</t>
    <phoneticPr fontId="8" type="noConversion"/>
  </si>
  <si>
    <t>mtk-cl-kshutdown00</t>
    <phoneticPr fontId="8" type="noConversion"/>
  </si>
  <si>
    <t>/proc/driver/thermal/tzts2</t>
    <phoneticPr fontId="8" type="noConversion"/>
  </si>
  <si>
    <t>/proc/driver/thermal/tzts3</t>
    <phoneticPr fontId="8" type="noConversion"/>
  </si>
  <si>
    <t>/proc/driver/thermal/tzts4</t>
    <phoneticPr fontId="8" type="noConversion"/>
  </si>
  <si>
    <t>mtkts2</t>
    <phoneticPr fontId="8" type="noConversion"/>
  </si>
  <si>
    <t>mtkts3</t>
    <phoneticPr fontId="8" type="noConversion"/>
  </si>
  <si>
    <t>mtkts4</t>
    <phoneticPr fontId="8" type="noConversion"/>
  </si>
  <si>
    <t>NTC nearby PA</t>
    <phoneticPr fontId="8" type="noConversion"/>
  </si>
  <si>
    <t>ctm</t>
  </si>
  <si>
    <t>ctm on</t>
  </si>
  <si>
    <t>Target Tj 0</t>
  </si>
  <si>
    <t>85000</t>
  </si>
  <si>
    <t>Target Tj 2</t>
  </si>
  <si>
    <t>Tpcb 1</t>
  </si>
  <si>
    <t>Exit Tj 0</t>
  </si>
  <si>
    <t>Exit Tj 2</t>
  </si>
  <si>
    <t>Enter_a</t>
  </si>
  <si>
    <t>Enter_b</t>
  </si>
  <si>
    <t>Exit_a</t>
  </si>
  <si>
    <t>Exit_b</t>
  </si>
  <si>
    <t>mtkts2</t>
    <phoneticPr fontId="8" type="noConversion"/>
  </si>
  <si>
    <t>mtkts3</t>
    <phoneticPr fontId="8" type="noConversion"/>
  </si>
  <si>
    <t>mtkts4</t>
    <phoneticPr fontId="8" type="noConversion"/>
  </si>
  <si>
    <t>Max temp in MT6755 TS</t>
    <phoneticPr fontId="8" type="noConversion"/>
  </si>
  <si>
    <t>TS2 Inside MT6755 IC near ABB</t>
    <phoneticPr fontId="8" type="noConversion"/>
  </si>
  <si>
    <t>TS inside MT6351IC</t>
    <phoneticPr fontId="8" type="noConversion"/>
  </si>
  <si>
    <t>TS inside MT6291 and may near PA</t>
    <phoneticPr fontId="8" type="noConversion"/>
  </si>
  <si>
    <t>TS inside MT6625</t>
    <phoneticPr fontId="8" type="noConversion"/>
  </si>
  <si>
    <t>TS1 inside MT6755 IC</t>
    <phoneticPr fontId="8" type="noConversion"/>
  </si>
  <si>
    <t>TS2 inside MT6755 IC</t>
    <phoneticPr fontId="8" type="noConversion"/>
  </si>
  <si>
    <t>TS3 inside MT6755 IC</t>
    <phoneticPr fontId="8" type="noConversion"/>
  </si>
  <si>
    <t>TS4 inside MT6755 IC</t>
    <phoneticPr fontId="8" type="noConversion"/>
  </si>
  <si>
    <t>NULL</t>
    <phoneticPr fontId="8" type="noConversion"/>
  </si>
  <si>
    <t>mtkts2</t>
    <phoneticPr fontId="8" type="noConversion"/>
  </si>
  <si>
    <t>mtkts3</t>
    <phoneticPr fontId="8" type="noConversion"/>
  </si>
  <si>
    <t>mtkts4</t>
    <phoneticPr fontId="8" type="noConversion"/>
  </si>
  <si>
    <t>mtktsdcxo</t>
    <phoneticPr fontId="8" type="noConversion"/>
  </si>
  <si>
    <t>/proc/driver/thermal/tzdcxo</t>
    <phoneticPr fontId="8" type="noConversion"/>
  </si>
  <si>
    <t>TS inside DCXO</t>
    <phoneticPr fontId="8" type="noConversion"/>
  </si>
  <si>
    <t>mtk-cl-mutt03</t>
    <phoneticPr fontId="8" type="noConversion"/>
  </si>
  <si>
    <t>K_SUM_TT_HIGH</t>
  </si>
  <si>
    <t>10</t>
  </si>
  <si>
    <t>K_SUM_TT_LOW</t>
  </si>
  <si>
    <t>CATM2_STEADY_TTJ_DELTA</t>
  </si>
  <si>
    <t>10000</t>
  </si>
  <si>
    <t>67000</t>
  </si>
  <si>
    <t>25</t>
  </si>
  <si>
    <t>mtkts2</t>
  </si>
  <si>
    <t>mtkts3</t>
  </si>
  <si>
    <t>2500</t>
  </si>
  <si>
    <t>45000</t>
  </si>
  <si>
    <t>Tpcb 2</t>
  </si>
  <si>
    <t>48000</t>
  </si>
  <si>
    <t>410</t>
  </si>
  <si>
    <t>75000</t>
  </si>
  <si>
    <t>1600</t>
  </si>
  <si>
    <t>61000</t>
  </si>
  <si>
    <t>550</t>
  </si>
  <si>
    <t>51000</t>
    <phoneticPr fontId="8" type="noConversion"/>
  </si>
  <si>
    <t>68000</t>
    <phoneticPr fontId="8" type="noConversion"/>
  </si>
  <si>
    <t>900</t>
    <phoneticPr fontId="8" type="noConversion"/>
  </si>
  <si>
    <t>45000</t>
    <phoneticPr fontId="8" type="noConversion"/>
  </si>
  <si>
    <t>51000</t>
    <phoneticPr fontId="8" type="noConversion"/>
  </si>
  <si>
    <t>85000</t>
    <phoneticPr fontId="8" type="noConversion"/>
  </si>
  <si>
    <t>900</t>
    <phoneticPr fontId="8" type="noConversion"/>
  </si>
  <si>
    <t>mtk-cl-noIMS</t>
  </si>
  <si>
    <t>mtk-cl-noIMS</t>
    <phoneticPr fontId="8" type="noConversion"/>
  </si>
  <si>
    <t>mtk-cl-mdoff</t>
  </si>
  <si>
    <t>mtk-cl-mdoff</t>
    <phoneticPr fontId="8" type="noConversion"/>
  </si>
  <si>
    <t>mutt03 active ms</t>
    <phoneticPr fontId="8" type="noConversion"/>
  </si>
  <si>
    <t>mutt03 suspend ms</t>
    <phoneticPr fontId="8" type="noConversion"/>
  </si>
  <si>
    <t>mtk-cl-mutt03</t>
  </si>
  <si>
    <t>10</t>
    <phoneticPr fontId="8" type="noConversion"/>
  </si>
  <si>
    <t>15</t>
    <phoneticPr fontId="8" type="noConversion"/>
  </si>
  <si>
    <t>10</t>
    <phoneticPr fontId="8" type="noConversion"/>
  </si>
  <si>
    <t>15</t>
    <phoneticPr fontId="8" type="noConversion"/>
  </si>
  <si>
    <t>68000</t>
  </si>
  <si>
    <t>51000</t>
  </si>
  <si>
    <t>62000</t>
  </si>
  <si>
    <t>mtk-cl-cam00</t>
  </si>
  <si>
    <t>mtk-cl-mutt02</t>
    <phoneticPr fontId="8" type="noConversion"/>
  </si>
  <si>
    <t>mtk-cl-mutt01</t>
    <phoneticPr fontId="8" type="noConversion"/>
  </si>
  <si>
    <t>mtk-cl-mutt00</t>
    <phoneticPr fontId="8" type="noConversion"/>
  </si>
  <si>
    <t>500</t>
    <phoneticPr fontId="8" type="noConversion"/>
  </si>
  <si>
    <t>abcct</t>
  </si>
  <si>
    <t>abcct</t>
    <phoneticPr fontId="8" type="noConversion"/>
  </si>
  <si>
    <t>/proc/driver/thermal/clabcct</t>
    <phoneticPr fontId="8" type="noConversion"/>
  </si>
  <si>
    <t>/proc/driver/thermal/clctm</t>
    <phoneticPr fontId="8" type="noConversion"/>
  </si>
  <si>
    <t>Target Temp</t>
  </si>
  <si>
    <t>Kp</t>
  </si>
  <si>
    <t>Ki</t>
  </si>
  <si>
    <t>Kd</t>
  </si>
  <si>
    <t>max chr current limit</t>
  </si>
  <si>
    <t>min chr current limit</t>
  </si>
  <si>
    <t>mtk-cl-shutdown02</t>
    <phoneticPr fontId="8" type="noConversion"/>
  </si>
  <si>
    <t>mtktswmt-sysrst</t>
    <phoneticPr fontId="8" type="noConversion"/>
  </si>
  <si>
    <t>mtktsabb-sysrst</t>
    <phoneticPr fontId="8" type="noConversion"/>
  </si>
  <si>
    <t>mtktsbuck-sysrst</t>
  </si>
</sst>
</file>

<file path=xl/styles.xml><?xml version="1.0" encoding="utf-8"?>
<styleSheet xmlns="http://schemas.openxmlformats.org/spreadsheetml/2006/main">
  <fonts count="17">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9"/>
      <name val="新細明體"/>
      <family val="3"/>
      <charset val="136"/>
      <scheme val="minor"/>
    </font>
    <font>
      <sz val="10"/>
      <color rgb="FF0000FF"/>
      <name val="新細明體"/>
      <family val="2"/>
      <scheme val="minor"/>
    </font>
    <font>
      <sz val="10"/>
      <color rgb="FFFF0000"/>
      <name val="新細明體"/>
      <family val="1"/>
      <charset val="136"/>
      <scheme val="minor"/>
    </font>
    <font>
      <sz val="11"/>
      <color rgb="FF000000"/>
      <name val="Calibri"/>
      <family val="2"/>
    </font>
    <font>
      <sz val="10"/>
      <color rgb="FF7030A0"/>
      <name val="新細明體"/>
      <family val="2"/>
      <scheme val="minor"/>
    </font>
    <font>
      <sz val="10"/>
      <color rgb="FF7030A0"/>
      <name val="新細明體"/>
      <family val="1"/>
      <charset val="136"/>
      <scheme val="minor"/>
    </font>
    <font>
      <sz val="10"/>
      <color rgb="FFFFFFFF"/>
      <name val="Calibri"/>
      <family val="2"/>
    </font>
    <font>
      <sz val="10"/>
      <color rgb="FFFFFF00"/>
      <name val="Calibri"/>
      <family val="2"/>
    </font>
    <font>
      <sz val="10"/>
      <color rgb="FF000000"/>
      <name val="Calibri"/>
      <family val="2"/>
    </font>
  </fonts>
  <fills count="7">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A5A5A5"/>
        <bgColor indexed="64"/>
      </patternFill>
    </fill>
    <fill>
      <patternFill patternType="solid">
        <fgColor rgb="FF404040"/>
        <bgColor indexed="64"/>
      </patternFill>
    </fill>
  </fills>
  <borders count="23">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medium">
        <color rgb="FFD8D8D8"/>
      </right>
      <top/>
      <bottom style="medium">
        <color rgb="FFD8D8D8"/>
      </bottom>
      <diagonal/>
    </border>
    <border>
      <left style="medium">
        <color rgb="FFD8D8D8"/>
      </left>
      <right style="medium">
        <color rgb="FFD8D8D8"/>
      </right>
      <top style="medium">
        <color rgb="FFD8D8D8"/>
      </top>
      <bottom style="medium">
        <color rgb="FFD8D8D8"/>
      </bottom>
      <diagonal/>
    </border>
    <border>
      <left/>
      <right style="medium">
        <color rgb="FF404040"/>
      </right>
      <top style="medium">
        <color rgb="FF404040"/>
      </top>
      <bottom style="medium">
        <color rgb="FFD8D8D8"/>
      </bottom>
      <diagonal/>
    </border>
    <border>
      <left style="medium">
        <color rgb="FFD8D8D8"/>
      </left>
      <right style="medium">
        <color rgb="FFD8D8D8"/>
      </right>
      <top/>
      <bottom style="medium">
        <color rgb="FFD8D8D8"/>
      </bottom>
      <diagonal/>
    </border>
  </borders>
  <cellStyleXfs count="1">
    <xf numFmtId="0" fontId="0" fillId="0" borderId="0"/>
  </cellStyleXfs>
  <cellXfs count="66">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49" fontId="7" fillId="4" borderId="7" xfId="0" applyNumberFormat="1" applyFont="1" applyFill="1" applyBorder="1" applyAlignment="1" applyProtection="1">
      <alignment horizontal="left"/>
      <protection locked="0"/>
    </xf>
    <xf numFmtId="0" fontId="9" fillId="4" borderId="7" xfId="0" applyFont="1" applyFill="1" applyBorder="1" applyAlignment="1" applyProtection="1">
      <alignment horizontal="center"/>
      <protection locked="0"/>
    </xf>
    <xf numFmtId="0" fontId="0" fillId="0" borderId="0" xfId="0" applyFont="1"/>
    <xf numFmtId="1" fontId="7" fillId="4" borderId="7" xfId="0" applyNumberFormat="1" applyFont="1" applyFill="1" applyBorder="1" applyAlignment="1" applyProtection="1">
      <alignment horizontal="left"/>
      <protection locked="0"/>
    </xf>
    <xf numFmtId="0" fontId="7" fillId="4" borderId="7" xfId="0" applyFont="1" applyFill="1" applyBorder="1" applyAlignment="1" applyProtection="1">
      <alignment horizontal="left"/>
    </xf>
    <xf numFmtId="0" fontId="10" fillId="4" borderId="7" xfId="0" applyFont="1" applyFill="1" applyBorder="1" applyAlignment="1" applyProtection="1">
      <alignment horizontal="center"/>
      <protection locked="0"/>
    </xf>
    <xf numFmtId="0" fontId="10" fillId="4" borderId="8" xfId="0" applyFont="1" applyFill="1" applyBorder="1" applyAlignment="1" applyProtection="1">
      <alignment horizontal="center"/>
      <protection locked="0"/>
    </xf>
    <xf numFmtId="0" fontId="7" fillId="2" borderId="0" xfId="0" applyFont="1" applyFill="1" applyAlignment="1" applyProtection="1">
      <alignment horizontal="center"/>
      <protection locked="0"/>
    </xf>
    <xf numFmtId="0" fontId="7" fillId="4" borderId="4" xfId="0" applyFont="1" applyFill="1" applyBorder="1" applyAlignment="1" applyProtection="1">
      <alignment horizontal="center" vertical="center"/>
      <protection locked="0"/>
    </xf>
    <xf numFmtId="0" fontId="12" fillId="4" borderId="7" xfId="0" applyFont="1" applyFill="1" applyBorder="1" applyAlignment="1" applyProtection="1">
      <alignment horizontal="center"/>
      <protection locked="0"/>
    </xf>
    <xf numFmtId="0" fontId="13" fillId="4" borderId="7" xfId="0" applyFont="1" applyFill="1" applyBorder="1" applyAlignment="1" applyProtection="1">
      <alignment horizontal="center"/>
      <protection locked="0"/>
    </xf>
    <xf numFmtId="0" fontId="13" fillId="4" borderId="8" xfId="0" applyFont="1" applyFill="1" applyBorder="1" applyAlignment="1" applyProtection="1">
      <alignment horizontal="center"/>
      <protection locked="0"/>
    </xf>
    <xf numFmtId="0" fontId="14" fillId="6" borderId="0" xfId="0" applyFont="1" applyFill="1" applyAlignment="1">
      <alignment horizontal="center"/>
    </xf>
    <xf numFmtId="0" fontId="15" fillId="5" borderId="20" xfId="0" applyFont="1" applyFill="1" applyBorder="1"/>
    <xf numFmtId="0" fontId="16" fillId="5" borderId="21" xfId="0" applyFont="1" applyFill="1" applyBorder="1" applyAlignment="1">
      <alignment horizontal="center"/>
    </xf>
    <xf numFmtId="0" fontId="15" fillId="5" borderId="22" xfId="0" applyFont="1" applyFill="1" applyBorder="1"/>
    <xf numFmtId="0" fontId="15" fillId="5" borderId="19" xfId="0" applyFont="1" applyFill="1" applyBorder="1"/>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colors>
    <mruColors>
      <color rgb="FF00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calcChain" Target="calcChain.xml"/><Relationship Id="rId30"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tk08455\AppData\Roaming\Microsoft\Excel\6755_L_thermal_config_2015_7-15_CATM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Thermal\@@@Thermal%20TASK\Jade\tool\thermal_config_tool_V1.13.0_dev\6755_L_thermal_config_2015_7-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tk08455\AppData\Roaming\Microsoft\Excel\6755_L_thermal_config_2015_7-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Thermal/@@@Thermal%20TASK/Thermal%20Config%20Tool%20(binary)/2015.8.14/Thermal_Config_Tool_exe_v1.1522.0/thermal_config_tool_V1.13.0_dev/6580_L_thermal_config_2015_050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tk08455\AppData\Roaming\Microsoft\Excel\6795_L_thermal_config_2007_V1.10.1.0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5_1.11.0.00_catm2-eng"/>
      <sheetName val="catm"/>
      <sheetName val="P2"/>
      <sheetName val="6755_1.11.0.00_catm-eng"/>
      <sheetName val="6755_1.11.0.00_catm_wfd"/>
      <sheetName val="6755_1.11.0.00_catm_no_bcct-eng"/>
      <sheetName val="6755_1.11.0.00_catm_no_bcct"/>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55_1.11.0.00_catm_wfd"/>
      <sheetName val="6755_1.11.0.00_catm_no_bcct-eng"/>
      <sheetName val="6755_1.11.0.00_catm_no_bcct"/>
      <sheetName val="6755_1.11.0.00_catm-eng"/>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6755_1.11.0.00_catm_wfd"/>
      <sheetName val="6755_1.11.0.00_catm_no_bcct-eng"/>
      <sheetName val="6755_1.11.0.00_catm_no_bcct"/>
      <sheetName val="6755_1.11.0.00_catm-eng"/>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6580_catm_5-4-no-char-limit2"/>
      <sheetName val="6580_catm_5-4"/>
      <sheetName val="6580_catm_eng-5-4"/>
      <sheetName val="6580_1.10.0.00_ht"/>
      <sheetName val="6580_1.10.0.00_tp"/>
      <sheetName val="6735_coolers"/>
      <sheetName val="6735_tz"/>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6795_1.10.1.03_atm_ctm"/>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74" totalsRowShown="0">
  <autoFilter ref="A1:C74"/>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5" totalsRowShown="0">
  <autoFilter ref="A1:C15"/>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87">
    <tabColor rgb="FFFF0000"/>
  </sheetPr>
  <dimension ref="A1:BD122"/>
  <sheetViews>
    <sheetView zoomScale="90" zoomScaleNormal="90" workbookViewId="0">
      <selection activeCell="P31" sqref="P31"/>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570312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57">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1</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4">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4">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4">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248</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257</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230</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237</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241</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C12">
      <formula1>'[1]6755_coolers'!A2:A134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AE1">
      <formula1>'[3]6755_tz'!A2:A97</formula1>
    </dataValidation>
    <dataValidation type="list" allowBlank="1" showInputMessage="1" showErrorMessage="1" sqref="AI69:AI71 AY20:AY22 AE55:AE57 AE48:AE50 AE41:AE43 AE34:AE36 AE27:AE29 AE20:AE22 AE69:AE71 AE13:AE15 AE62:AE64 AI62:AI64 AU62:AU64 O13:O15 O69:O71 O20:O22 O27:O29 O34:O36 O41:O43 O6:O8 O48:O50 O55:O57 O62:O64 C69:C71 C34:C36 C6:C8 C48:C50 C55:C57 C62:C64 S13:S15 S69:S71 S20:S22 S27:S29 S34:S36 S41:S43 S6:S8 S48:S50 S55:S57 S62:S64 K13:K15 G69:G71 G20:G22 K69:K71 G27:G29 G34:G36 G41:G43 K20:K22 K34:K36 G6:G8 G48:G50 G55:G57 K41:K43 AY6:AY8 G62:G64 K48:K50 K55:K57 K62:K64 W13:W15 W69:W71 W20:W22 W27:W29 W34:W36 W41:W43 W6:W8 W48:W50 W55:W57 W62:W64 C27:C29 AU6:AU8 AM6:AM8 G13:G15 AI55:AI57 AI34:AI36 AI27:AI29 AI13:AI15 C20:C22 AY62:AY64 AI20:AI22 AY69:AY71 K27:K29 AQ6:AQ8 AY55:AY57 AY48:AY50 AY41:AY43 AY13:AY15 AI48:AI50 AY34:AY36 C41:C43 AY27:AY29 AA41:AA43 AM55:AM57 AM48:AM50 AM41:AM43 AM34:AM36 AM27:AM29 AM20:AM22 AM69:AM71 AM13:AM15 AM62:AM64 K6:K8 AQ55:AQ57 AQ48:AQ50 AQ41:AQ43 AQ34:AQ36 AQ27:AQ29 AQ20:AQ22 AQ69:AQ71 AQ13:AQ15 AQ62:AQ64 AI41:AI43 AU55:AU57 AU48:AU50 AU41:AU43 AU34:AU36 AU27:AU29 AU20:AU22 AU69:AU71 AU13:AU15 AI6:AI8 AA13:AA15 AA34:AA36 AA55:AA57 AA48:AA50 AA6:AA8 AA27:AA29 AA69:AA71 AA62:AA64 AE6:AE8">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J1 AN1 AR1 H77 AF1 AZ77 L77 AB77 P77 D77 AV1 AZ1 AV77 AF77 AJ77 AN77 AR77 AB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I1 K1 AM1 AQ1 AA1">
      <formula1>'6755_tz'!A2:A97</formula1>
    </dataValidation>
    <dataValidation type="list" allowBlank="1" showInputMessage="1" sqref="AE61 AE47 AE40 AE33 AE26 AE19 AE12 AE68 AI19 AU5 C5 C33 C47 C54 C61 C68 AU12 G5 G19 G26 G33 G40 G47 G54 G61 G68 AY19 AI47 AY26 K19 K33 K40 K47 K54 K61 K68 O12 O5 O19 O26 O33 O40 O47 O54 O61 O68 S12 S5 S19 S26 S33 S40 S47 S54 S61 S68 W12 W5 W19 W26 W33 W40 W47 W54 W61 W68 C40 AY47 G12 AI54 AI33 AI26 AI68 AI12 C19 AY12 AY68 C26 AY40 AU68 AQ5 AY61 AY54 K26 AY33 K12 AE54 AY5 AM5 AM61 AM54 AM47 AM40 AM33 AM26 AM19 AM12 AM68 K5 AQ61 AQ54 AQ47 AQ40 AQ33 AQ26 AQ19 AQ12 AQ68 AI40 AU61 AU54 AU47 AU40 AU33 AU26 AU19 AI5 AI61 AA12 AA68 AA61 AA54 AA47 AA26 AA40 AA33 AE5">
      <formula1>'6755_coolers'!A2:A137</formula1>
    </dataValidation>
    <dataValidation type="list" allowBlank="1" showInputMessage="1" sqref="AA19">
      <formula1>'[4]6735_coolers'!A2:A134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0"/>
  <dimension ref="A1:BA122"/>
  <sheetViews>
    <sheetView zoomScale="90" zoomScaleNormal="90" workbookViewId="0">
      <selection activeCell="AE3" sqref="AE3:AF8"/>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218</v>
      </c>
      <c r="AR1" s="4" t="s">
        <v>36</v>
      </c>
      <c r="AS1" s="6"/>
      <c r="AT1" s="2" t="s">
        <v>35</v>
      </c>
      <c r="AU1" s="3" t="s">
        <v>219</v>
      </c>
      <c r="AV1" s="4" t="s">
        <v>36</v>
      </c>
      <c r="AW1" s="6"/>
      <c r="AX1" s="2" t="s">
        <v>35</v>
      </c>
      <c r="AY1" s="3" t="s">
        <v>207</v>
      </c>
      <c r="AZ1" s="4" t="s">
        <v>36</v>
      </c>
      <c r="BA1"/>
    </row>
    <row r="2" spans="1:53" ht="30.75" customHeight="1">
      <c r="B2" s="2" t="s">
        <v>9</v>
      </c>
      <c r="C2" s="3">
        <v>3</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44">
        <v>90000</v>
      </c>
      <c r="AB3" s="14"/>
      <c r="AC3" s="10"/>
      <c r="AD3" s="12" t="s">
        <v>7</v>
      </c>
      <c r="AE3" s="13">
        <v>120000</v>
      </c>
      <c r="AF3" s="14"/>
      <c r="AG3" s="10"/>
      <c r="AH3" s="12" t="s">
        <v>7</v>
      </c>
      <c r="AI3" s="13">
        <v>200000</v>
      </c>
      <c r="AJ3" s="14"/>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282</v>
      </c>
      <c r="AF5" s="43"/>
      <c r="AG5" s="10"/>
      <c r="AH5" s="12" t="s">
        <v>5</v>
      </c>
      <c r="AI5" s="13" t="s">
        <v>109</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44">
        <v>105000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44">
        <v>85000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44"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44" t="s">
        <v>131</v>
      </c>
      <c r="D20" s="43">
        <v>15000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217</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217</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217</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132</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143</v>
      </c>
      <c r="AF77" s="4" t="s">
        <v>37</v>
      </c>
      <c r="AG77"/>
      <c r="AH77" s="35" t="s">
        <v>5</v>
      </c>
      <c r="AI77" s="36" t="s">
        <v>144</v>
      </c>
      <c r="AJ77" s="4" t="s">
        <v>36</v>
      </c>
      <c r="AK77"/>
      <c r="AL77" s="35" t="s">
        <v>5</v>
      </c>
      <c r="AM77" s="36" t="s">
        <v>145</v>
      </c>
      <c r="AN77" s="4" t="s">
        <v>37</v>
      </c>
      <c r="AO77"/>
      <c r="AP77" s="35" t="s">
        <v>5</v>
      </c>
      <c r="AQ77" s="36" t="s">
        <v>145</v>
      </c>
      <c r="AR77" s="4" t="s">
        <v>37</v>
      </c>
      <c r="AS77"/>
      <c r="AT77" s="35" t="s">
        <v>5</v>
      </c>
      <c r="AU77" s="36" t="s">
        <v>145</v>
      </c>
      <c r="AV77" s="4" t="s">
        <v>37</v>
      </c>
      <c r="AW77"/>
      <c r="AX77" s="35" t="s">
        <v>5</v>
      </c>
      <c r="AY77" s="47" t="s">
        <v>193</v>
      </c>
      <c r="AZ77" s="48" t="s">
        <v>36</v>
      </c>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146</v>
      </c>
      <c r="AG78"/>
      <c r="AH78" s="35" t="s">
        <v>38</v>
      </c>
      <c r="AI78" s="36" t="s">
        <v>42</v>
      </c>
      <c r="AJ78" s="36">
        <v>0</v>
      </c>
      <c r="AK78"/>
      <c r="AL78" s="35" t="s">
        <v>38</v>
      </c>
      <c r="AM78" s="36" t="s">
        <v>147</v>
      </c>
      <c r="AN78" s="36">
        <v>1</v>
      </c>
      <c r="AO78"/>
      <c r="AP78" s="35" t="s">
        <v>38</v>
      </c>
      <c r="AQ78" s="36" t="s">
        <v>147</v>
      </c>
      <c r="AR78" s="36">
        <v>2</v>
      </c>
      <c r="AS78"/>
      <c r="AT78" s="35" t="s">
        <v>38</v>
      </c>
      <c r="AU78" s="36" t="s">
        <v>147</v>
      </c>
      <c r="AV78" s="36">
        <v>3</v>
      </c>
      <c r="AW78"/>
      <c r="AX78" s="35" t="s">
        <v>38</v>
      </c>
      <c r="AY78" s="47" t="s">
        <v>194</v>
      </c>
      <c r="AZ78" s="49" t="s">
        <v>63</v>
      </c>
      <c r="BA78"/>
    </row>
    <row r="79" spans="1:53" s="7" customFormat="1" ht="15.75">
      <c r="A79"/>
      <c r="B79" s="35" t="s">
        <v>38</v>
      </c>
      <c r="C79" s="36" t="s">
        <v>125</v>
      </c>
      <c r="D79" s="38" t="s">
        <v>134</v>
      </c>
      <c r="E79"/>
      <c r="F79" s="35" t="s">
        <v>38</v>
      </c>
      <c r="G79" s="36" t="s">
        <v>125</v>
      </c>
      <c r="H79" s="38" t="s">
        <v>134</v>
      </c>
      <c r="J79" s="35" t="s">
        <v>38</v>
      </c>
      <c r="K79" s="36" t="s">
        <v>39</v>
      </c>
      <c r="L79" s="36">
        <v>-1</v>
      </c>
      <c r="M79"/>
      <c r="N79" s="35" t="s">
        <v>38</v>
      </c>
      <c r="O79" s="36" t="s">
        <v>44</v>
      </c>
      <c r="P79" s="38" t="s">
        <v>45</v>
      </c>
      <c r="Q79"/>
      <c r="R79" s="35" t="s">
        <v>38</v>
      </c>
      <c r="S79" s="36" t="s">
        <v>54</v>
      </c>
      <c r="T79" s="49" t="s">
        <v>234</v>
      </c>
      <c r="U79"/>
      <c r="V79" s="35" t="s">
        <v>38</v>
      </c>
      <c r="W79" s="36" t="s">
        <v>54</v>
      </c>
      <c r="X79" s="38" t="s">
        <v>115</v>
      </c>
      <c r="Y79"/>
      <c r="Z79" s="35" t="s">
        <v>38</v>
      </c>
      <c r="AA79" s="36" t="s">
        <v>54</v>
      </c>
      <c r="AB79" s="38" t="s">
        <v>118</v>
      </c>
      <c r="AC79"/>
      <c r="AD79" s="35" t="s">
        <v>38</v>
      </c>
      <c r="AE79" s="36" t="s">
        <v>148</v>
      </c>
      <c r="AF79" s="38" t="s">
        <v>64</v>
      </c>
      <c r="AG79"/>
      <c r="AH79" s="35" t="s">
        <v>38</v>
      </c>
      <c r="AI79" s="36" t="s">
        <v>149</v>
      </c>
      <c r="AJ79" s="36">
        <v>400</v>
      </c>
      <c r="AK79"/>
      <c r="AL79" s="35" t="s">
        <v>38</v>
      </c>
      <c r="AM79" s="36" t="s">
        <v>150</v>
      </c>
      <c r="AN79" s="36">
        <v>1200</v>
      </c>
      <c r="AO79"/>
      <c r="AP79" s="35" t="s">
        <v>38</v>
      </c>
      <c r="AQ79" s="36" t="s">
        <v>150</v>
      </c>
      <c r="AR79" s="36">
        <v>600</v>
      </c>
      <c r="AS79"/>
      <c r="AT79" s="35" t="s">
        <v>38</v>
      </c>
      <c r="AU79" s="36" t="s">
        <v>150</v>
      </c>
      <c r="AV79" s="36">
        <v>300</v>
      </c>
      <c r="AW79"/>
      <c r="AX79" s="35" t="s">
        <v>38</v>
      </c>
      <c r="AY79" s="47" t="s">
        <v>195</v>
      </c>
      <c r="AZ79" s="49" t="s">
        <v>196</v>
      </c>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257</v>
      </c>
      <c r="U80"/>
      <c r="V80" s="35" t="s">
        <v>38</v>
      </c>
      <c r="W80" s="36" t="s">
        <v>67</v>
      </c>
      <c r="X80" s="38" t="s">
        <v>117</v>
      </c>
      <c r="Y80"/>
      <c r="Z80" s="35" t="s">
        <v>38</v>
      </c>
      <c r="AA80" s="36" t="s">
        <v>67</v>
      </c>
      <c r="AB80" s="38" t="s">
        <v>117</v>
      </c>
      <c r="AC80"/>
      <c r="AD80" s="35" t="s">
        <v>38</v>
      </c>
      <c r="AE80" s="36" t="s">
        <v>46</v>
      </c>
      <c r="AF80" s="38" t="s">
        <v>142</v>
      </c>
      <c r="AG80"/>
      <c r="AH80" s="35" t="s">
        <v>38</v>
      </c>
      <c r="AI80" s="36" t="s">
        <v>151</v>
      </c>
      <c r="AJ80" s="36">
        <v>100</v>
      </c>
      <c r="AK80"/>
      <c r="AL80" s="35" t="s">
        <v>38</v>
      </c>
      <c r="AM80" s="36" t="s">
        <v>152</v>
      </c>
      <c r="AN80" s="36">
        <v>300</v>
      </c>
      <c r="AO80"/>
      <c r="AP80" s="35" t="s">
        <v>38</v>
      </c>
      <c r="AQ80" s="36" t="s">
        <v>152</v>
      </c>
      <c r="AR80" s="36">
        <v>300</v>
      </c>
      <c r="AS80"/>
      <c r="AT80" s="35" t="s">
        <v>38</v>
      </c>
      <c r="AU80" s="36" t="s">
        <v>152</v>
      </c>
      <c r="AV80" s="36">
        <v>300</v>
      </c>
      <c r="AW80"/>
      <c r="AX80" s="35" t="s">
        <v>38</v>
      </c>
      <c r="AY80" s="47" t="s">
        <v>197</v>
      </c>
      <c r="AZ80" s="49" t="s">
        <v>230</v>
      </c>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258</v>
      </c>
      <c r="U81"/>
      <c r="V81" s="35" t="s">
        <v>38</v>
      </c>
      <c r="W81" s="36" t="s">
        <v>66</v>
      </c>
      <c r="X81" s="38" t="s">
        <v>116</v>
      </c>
      <c r="Y81"/>
      <c r="Z81" s="35" t="s">
        <v>38</v>
      </c>
      <c r="AA81" s="36" t="s">
        <v>66</v>
      </c>
      <c r="AB81" s="38" t="s">
        <v>116</v>
      </c>
      <c r="AC81"/>
      <c r="AD81" s="35" t="s">
        <v>38</v>
      </c>
      <c r="AE81" s="36" t="s">
        <v>153</v>
      </c>
      <c r="AF81" s="38" t="s">
        <v>64</v>
      </c>
      <c r="AG81"/>
      <c r="AH81" s="35" t="s">
        <v>38</v>
      </c>
      <c r="AI81" s="36" t="s">
        <v>154</v>
      </c>
      <c r="AJ81" s="36">
        <v>100</v>
      </c>
      <c r="AK81"/>
      <c r="AL81"/>
      <c r="AM81"/>
      <c r="AN81"/>
      <c r="AO81"/>
      <c r="AP81"/>
      <c r="AQ81"/>
      <c r="AR81"/>
      <c r="AS81"/>
      <c r="AT81"/>
      <c r="AU81"/>
      <c r="AV81"/>
      <c r="AW81"/>
      <c r="AX81" s="35" t="s">
        <v>38</v>
      </c>
      <c r="AY81" s="47" t="s">
        <v>198</v>
      </c>
      <c r="AZ81" s="49" t="s">
        <v>235</v>
      </c>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226</v>
      </c>
      <c r="U82"/>
      <c r="V82" s="35" t="s">
        <v>38</v>
      </c>
      <c r="W82" s="36" t="s">
        <v>57</v>
      </c>
      <c r="X82" s="38" t="s">
        <v>58</v>
      </c>
      <c r="Y82"/>
      <c r="Z82" s="35" t="s">
        <v>38</v>
      </c>
      <c r="AA82" s="36" t="s">
        <v>57</v>
      </c>
      <c r="AB82" s="38" t="s">
        <v>58</v>
      </c>
      <c r="AC82"/>
      <c r="AD82" s="35" t="s">
        <v>38</v>
      </c>
      <c r="AE82" s="36" t="s">
        <v>50</v>
      </c>
      <c r="AF82" s="38" t="s">
        <v>136</v>
      </c>
      <c r="AG82"/>
      <c r="AH82" s="35" t="s">
        <v>38</v>
      </c>
      <c r="AI82" s="36" t="s">
        <v>155</v>
      </c>
      <c r="AJ82" s="36">
        <v>200</v>
      </c>
      <c r="AK82"/>
      <c r="AL82"/>
      <c r="AM82"/>
      <c r="AN82"/>
      <c r="AO82"/>
      <c r="AP82"/>
      <c r="AQ82"/>
      <c r="AR82"/>
      <c r="AS82"/>
      <c r="AT82"/>
      <c r="AU82"/>
      <c r="AV82"/>
      <c r="AW82"/>
      <c r="AX82" s="35" t="s">
        <v>38</v>
      </c>
      <c r="AY82" s="47" t="s">
        <v>236</v>
      </c>
      <c r="AZ82" s="49" t="s">
        <v>237</v>
      </c>
      <c r="BA82"/>
    </row>
    <row r="83" spans="1:53" s="7" customFormat="1" ht="15.75">
      <c r="A83"/>
      <c r="B83" s="35" t="s">
        <v>38</v>
      </c>
      <c r="C83" s="36" t="s">
        <v>125</v>
      </c>
      <c r="D83" s="38" t="s">
        <v>135</v>
      </c>
      <c r="E83"/>
      <c r="F83" s="35" t="s">
        <v>38</v>
      </c>
      <c r="G83" s="36" t="s">
        <v>125</v>
      </c>
      <c r="H83" s="38" t="s">
        <v>135</v>
      </c>
      <c r="J83"/>
      <c r="K83"/>
      <c r="L83"/>
      <c r="M83"/>
      <c r="N83"/>
      <c r="O83"/>
      <c r="P83"/>
      <c r="Q83"/>
      <c r="R83" s="35" t="s">
        <v>38</v>
      </c>
      <c r="S83" s="36" t="s">
        <v>55</v>
      </c>
      <c r="T83" s="49" t="s">
        <v>141</v>
      </c>
      <c r="U83"/>
      <c r="V83" s="35" t="s">
        <v>38</v>
      </c>
      <c r="W83" s="36" t="s">
        <v>55</v>
      </c>
      <c r="X83" s="38" t="s">
        <v>138</v>
      </c>
      <c r="Y83"/>
      <c r="Z83" s="35" t="s">
        <v>38</v>
      </c>
      <c r="AA83" s="36" t="s">
        <v>55</v>
      </c>
      <c r="AB83" s="38" t="s">
        <v>138</v>
      </c>
      <c r="AC83"/>
      <c r="AD83" s="35" t="s">
        <v>38</v>
      </c>
      <c r="AE83" s="36" t="s">
        <v>156</v>
      </c>
      <c r="AF83" s="38" t="s">
        <v>64</v>
      </c>
      <c r="AG83"/>
      <c r="AH83" s="35" t="s">
        <v>38</v>
      </c>
      <c r="AI83" s="36" t="s">
        <v>157</v>
      </c>
      <c r="AJ83" s="36">
        <v>100</v>
      </c>
      <c r="AK83"/>
      <c r="AL83"/>
      <c r="AM83"/>
      <c r="AN83"/>
      <c r="AO83"/>
      <c r="AP83"/>
      <c r="AQ83"/>
      <c r="AR83"/>
      <c r="AS83"/>
      <c r="AT83"/>
      <c r="AU83"/>
      <c r="AV83"/>
      <c r="AW83"/>
      <c r="AX83" s="35" t="s">
        <v>38</v>
      </c>
      <c r="AY83" s="47" t="s">
        <v>199</v>
      </c>
      <c r="AZ83" s="49" t="s">
        <v>239</v>
      </c>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49" t="s">
        <v>137</v>
      </c>
      <c r="U84"/>
      <c r="V84" s="35" t="s">
        <v>38</v>
      </c>
      <c r="W84" s="36" t="s">
        <v>56</v>
      </c>
      <c r="X84" s="38" t="s">
        <v>139</v>
      </c>
      <c r="Y84"/>
      <c r="Z84" s="35" t="s">
        <v>38</v>
      </c>
      <c r="AA84" s="36" t="s">
        <v>56</v>
      </c>
      <c r="AB84" s="38" t="s">
        <v>139</v>
      </c>
      <c r="AC84"/>
      <c r="AD84" s="35" t="s">
        <v>38</v>
      </c>
      <c r="AE84" s="36" t="s">
        <v>158</v>
      </c>
      <c r="AF84" s="38" t="s">
        <v>159</v>
      </c>
      <c r="AG84"/>
      <c r="AH84" s="35" t="s">
        <v>38</v>
      </c>
      <c r="AI84" s="36" t="s">
        <v>160</v>
      </c>
      <c r="AJ84" s="36">
        <v>6000</v>
      </c>
      <c r="AK84"/>
      <c r="AL84"/>
      <c r="AM84"/>
      <c r="AN84"/>
      <c r="AO84"/>
      <c r="AP84"/>
      <c r="AQ84"/>
      <c r="AR84"/>
      <c r="AS84"/>
      <c r="AT84"/>
      <c r="AU84"/>
      <c r="AV84"/>
      <c r="AW84"/>
      <c r="AX84" s="35" t="s">
        <v>38</v>
      </c>
      <c r="AY84" s="47" t="s">
        <v>200</v>
      </c>
      <c r="AZ84" s="49" t="s">
        <v>241</v>
      </c>
      <c r="BA84"/>
    </row>
    <row r="85" spans="1:53" s="7" customFormat="1" ht="15.75">
      <c r="A85"/>
      <c r="B85" s="35" t="s">
        <v>38</v>
      </c>
      <c r="C85" s="36" t="s">
        <v>125</v>
      </c>
      <c r="D85" s="38" t="s">
        <v>136</v>
      </c>
      <c r="E85"/>
      <c r="F85" s="35" t="s">
        <v>38</v>
      </c>
      <c r="G85" s="36" t="s">
        <v>125</v>
      </c>
      <c r="H85" s="38" t="s">
        <v>136</v>
      </c>
      <c r="J85"/>
      <c r="K85"/>
      <c r="L85"/>
      <c r="M85"/>
      <c r="N85"/>
      <c r="O85"/>
      <c r="P85"/>
      <c r="Q85"/>
      <c r="R85" s="35" t="s">
        <v>38</v>
      </c>
      <c r="S85" s="36" t="s">
        <v>59</v>
      </c>
      <c r="T85" s="49" t="s">
        <v>242</v>
      </c>
      <c r="U85"/>
      <c r="V85" s="35" t="s">
        <v>38</v>
      </c>
      <c r="W85" s="36" t="s">
        <v>59</v>
      </c>
      <c r="X85" s="38" t="s">
        <v>141</v>
      </c>
      <c r="Y85"/>
      <c r="Z85" s="35" t="s">
        <v>38</v>
      </c>
      <c r="AA85" s="36" t="s">
        <v>59</v>
      </c>
      <c r="AB85" s="38" t="s">
        <v>141</v>
      </c>
      <c r="AC85"/>
      <c r="AD85"/>
      <c r="AE85"/>
      <c r="AF85"/>
      <c r="AG85"/>
      <c r="AH85" s="35" t="s">
        <v>38</v>
      </c>
      <c r="AI85" s="36" t="s">
        <v>254</v>
      </c>
      <c r="AJ85" s="36">
        <v>100</v>
      </c>
      <c r="AK85"/>
      <c r="AL85"/>
      <c r="AM85"/>
      <c r="AN85"/>
      <c r="AO85"/>
      <c r="AP85"/>
      <c r="AQ85"/>
      <c r="AR85"/>
      <c r="AS85"/>
      <c r="AT85"/>
      <c r="AU85"/>
      <c r="AV85"/>
      <c r="AW85"/>
      <c r="AX85" s="35" t="s">
        <v>38</v>
      </c>
      <c r="AY85" s="47" t="s">
        <v>201</v>
      </c>
      <c r="AZ85" s="52">
        <f>ROUND(AZ80+AZ86*AZ82/1000, 0)</f>
        <v>355000</v>
      </c>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49" t="s">
        <v>240</v>
      </c>
      <c r="U86"/>
      <c r="V86" s="35" t="s">
        <v>38</v>
      </c>
      <c r="W86" s="36" t="s">
        <v>60</v>
      </c>
      <c r="X86" s="38" t="s">
        <v>140</v>
      </c>
      <c r="Y86"/>
      <c r="Z86" s="35" t="s">
        <v>38</v>
      </c>
      <c r="AA86" s="36" t="s">
        <v>60</v>
      </c>
      <c r="AB86" s="38" t="s">
        <v>140</v>
      </c>
      <c r="AC86"/>
      <c r="AD86"/>
      <c r="AE86"/>
      <c r="AF86"/>
      <c r="AG86"/>
      <c r="AH86" s="35" t="s">
        <v>38</v>
      </c>
      <c r="AI86" s="36" t="s">
        <v>255</v>
      </c>
      <c r="AJ86" s="36">
        <v>25500</v>
      </c>
      <c r="AK86"/>
      <c r="AL86"/>
      <c r="AM86"/>
      <c r="AN86"/>
      <c r="AO86"/>
      <c r="AP86"/>
      <c r="AQ86"/>
      <c r="AR86"/>
      <c r="AS86"/>
      <c r="AT86"/>
      <c r="AU86"/>
      <c r="AV86"/>
      <c r="AW86"/>
      <c r="AX86" s="41" t="s">
        <v>38</v>
      </c>
      <c r="AY86" s="53" t="s">
        <v>202</v>
      </c>
      <c r="AZ86" s="52">
        <f>ROUND((AZ79-AZ80)*1000/(AZ82-AZ81),0)</f>
        <v>6000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47" t="s">
        <v>203</v>
      </c>
      <c r="AZ87" s="52">
        <f>ROUND(AZ84+AZ88*AZ82/1000,0)</f>
        <v>285016</v>
      </c>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38</v>
      </c>
      <c r="AY88" s="53" t="s">
        <v>204</v>
      </c>
      <c r="AZ88" s="52">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38</v>
      </c>
      <c r="AY89" s="36" t="s">
        <v>225</v>
      </c>
      <c r="AZ89" s="49" t="s">
        <v>231</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38</v>
      </c>
      <c r="AY90" s="36" t="s">
        <v>227</v>
      </c>
      <c r="AZ90" s="49" t="s">
        <v>231</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38</v>
      </c>
      <c r="AY91" s="36" t="s">
        <v>228</v>
      </c>
      <c r="AZ91" s="49" t="s">
        <v>229</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0">
    <dataValidation type="list" allowBlank="1" showInputMessage="1" showErrorMessage="1" sqref="AM6:AM8 AQ6:AQ8 AU6:AU8 AY6:AY8 AE6:AE8">
      <formula1>"NULL, CPU0 loading(%), Wifi usage(Kb/s), &lt; Mobile usage(Kb/s), EXIT, mtktscpu, mtktsabb, mtktspmic, mtktsbattery, mtktspa, mtktswmt, mtktsAP, mtktsbuck, mtktsbattery2, mtktsxtal"</formula1>
    </dataValidation>
    <dataValidation type="list" allowBlank="1" showInputMessage="1" sqref="C19 C5 C26 C12">
      <formula1>'[5]6595_coolers'!A2:A136</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list" allowBlank="1" showInputMessage="1" sqref="AE61 AQ5 AU68 AU12 AU19 AU26 AU33 AU40 AU47 AU54 AU61 AM5 AQ68 AQ12 AQ19 AQ26 AQ33 AQ40 AQ47 AQ54 AQ61 C33 AM68 AM12 AM19 AM26 AM33 AM40 AM47 AM54 AM61 AI5 AI68 AI12 AI19 AI26 AI33 AI40 AI47 AI54 AI61 AA5 AA12 AA19 AA26 AA33 AA40 AA47 AA54 AA61 AA68 AY33 AY40 C40 W68 W61 W54 W47 W40 W33 W26 W19 W5 W12 S68 S61 S54 S47 S40 S33 S26 S19 S5 S12 O68 O61 O54 O47 O40 O33 O26 O19 O5 O12 K68 K61 K54 K47 K40 K33 K26 K19 K5 K12 G68 G61 G54 G47 G40 G33 G26 G19 G5 G12 C68 C61 C54 C47 AY47 AY54 AY61 AY5 AE68 AE12 AE19 AE26 AE33 AE40 AE47 AE54 AU5 AY68 AY12 AY19 AY26 AE5">
      <formula1>'6755_coolers'!A2:A137</formula1>
    </dataValidation>
    <dataValidation type="list" allowBlank="1" showInputMessage="1" showErrorMessage="1" sqref="AE1 AU1 AQ1 AM1 AI1 AA1 W1 S1 O1 K1 G1 C1 AY1">
      <formula1>'6755_tz'!A2:A97</formula1>
    </dataValidation>
    <dataValidation type="list" allowBlank="1" showInputMessage="1" showErrorMessage="1" sqref="AE55:AE57 C27:C29 AU62:AU64 AU13:AU15 AU69:AU71 AU20:AU22 AU27:AU29 AU34:AU36 AU41:AU43 AU48:AU50 AU55:AU57 C13:C15 AQ62:AQ64 AQ13:AQ15 AQ69:AQ71 AQ20:AQ22 AQ27:AQ29 AQ34:AQ36 AQ41:AQ43 AQ48:AQ50 AQ55:AQ57 C34:C36 AM62:AM64 AM13:AM15 AM69:AM71 AM20:AM22 AM27:AM29 AM34:AM36 AM41:AM43 AM48:AM50 AM55:AM57 AI6:AI8 AI62:AI64 AI13:AI15 AI69:AI71 AI20:AI22 AI27:AI29 AI34:AI36 AI41:AI43 AI48:AI50 AI55:AI57 AA62:AA64 AA13:AA15 AA69:AA71 AA20:AA22 AA27:AA29 AA34:AA36 AA41:AA43 AA6:AA8 AA48:AA50 AA55:AA57 AY27:AY29 AY34:AY36 AY41:AY43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48:AY50 AY55:AY57 C69:C71 O62:O64 O55:O57 O48:O50 O6:O8 O41:O43 O34:O36 O27:O29 O20:O22 O69:O71 O13:O15 G13:G15 C6:C8 AE62:AE64 AE13:AE15 AE69:AE71 AE20:AE22 AE27:AE29 AE34:AE36 AE41:AE43 AE48:AE50 C20:C22 AY62:AY64 AY13:AY15 AY69:AY71 AY20:AY22">
      <formula1>"NULL, CPU0 loading(%), Wifi usage(Kb/s), EXIT, mtktscpu, mtktsabb, mtktspmic, mtktsbattery, mtktspa, mtktswmt, mtktsAP, mtktsbuck, mtktsbattery2, mtktsxtal"</formula1>
    </dataValidation>
    <dataValidation type="list" allowBlank="1" showInputMessage="1" showErrorMessage="1" sqref="L77 P77 AZ77 AB77 X77 AN1 AJ1 AF1 AB1 H77 AR1 L1 P1 X1 T1 H1 D1 D77 AV1 AZ1 AV77 AF77 AJ77 AN77 AR77 T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88">
    <tabColor rgb="FFFF0000"/>
  </sheetPr>
  <dimension ref="A1:BD122"/>
  <sheetViews>
    <sheetView zoomScale="90" zoomScaleNormal="90" workbookViewId="0">
      <selection activeCell="AH10" sqref="AH10:AJ5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14062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259</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244</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246</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243</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249</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AA19">
      <formula1>'[4]6735_coolers'!A2:A134</formula1>
    </dataValidation>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I68 AA47 C19 AY12 AY68 C26 AY40 AY61 AY54 K19 K12 K5 AY33 AY5 AE54 AA26 AM5 AM61 AM54 AM47 AM40 AM33 AM26 AM19 AM12 AM68 K26 AQ61 AQ54 AQ47 AQ40 AQ33 AQ26 AQ19 AQ12 AQ68 AA40 AU61 AU54 AU47 AU40 AU33 AU26 AU19 AA33 AI61 AI54 AI5 AE5 AI12 AI19 AI26 AI33 AI40 AI47">
      <formula1>'6755_coolers'!A2:A137</formula1>
    </dataValidation>
    <dataValidation type="list" allowBlank="1" showInputMessage="1" showErrorMessage="1" sqref="AU1 C1 G1 AY1 O1 S1 W1 AA1 K1 AM1 AQ1 AI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B1 AN1 AR1 H77 L77 AZ77 AF1 AB77 P77 D77 AV1 AZ1 AV77 AF77 AJ77 AN77 AR77 AJ1">
      <formula1>"ENABLE,DISABLE"</formula1>
    </dataValidation>
    <dataValidation type="list" allowBlank="1" showInputMessage="1" showErrorMessage="1" sqref="AA34:AA36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55:AA57 G62:G64 K48:K50 K55:K57 K62:K64 W13:W15 W69:W71 W20:W22 W27:W29 W34:W36 W41:W43 W6:W8 W48:W50 W55:W57 W62:W64 C27:C29 AU6:AU8 AM6:AM8 G13:G15 AA48:AA50 AA6:AA8 AI62:AI64 AA27:AA29 C20:C22 AY62:AY64 K27:K29 AY69:AY71 K13:K15 AY48:AY50 AY41:AY43 AY34:AY36 AY27:AY29 AY13:AY15 K20:K22 AY6:AY8 C41:C43 AA69:AA71 AI6:AI8 AM55:AM57 AM48:AM50 AM41:AM43 AM34:AM36 AM27:AM29 AM20:AM22 AM69:AM71 AM13:AM15 AM62:AM64 K6:K8 AQ55:AQ57 AQ48:AQ50 AQ41:AQ43 AQ34:AQ36 AQ27:AQ29 AQ20:AQ22 AQ69:AQ71 AQ13:AQ15 AQ62:AQ64 AA62:AA64 AU55:AU57 AU48:AU50 AU41:AU43 AU34:AU36 AU27:AU29 AU20:AU22 AU69:AU71 AU13:AU15 AA41:AA43 AA13:AA15 AI55:AI57 AE6:AE8 AI20:AI22 AI13:AI15 AI27:AI29 AI48:AI50 AI34:AI36 AI41:AI43">
      <formula1>"NULL, CPU0 loading(%), Wifi usage(Kb/s), &lt; Mobile usage(Kb/s), EXIT, mtktscpu, mtktsabb, mtktspmic, mtktsbattery, mtktspa, mtktswmt, mtktsAP, mtktsbuck, mtktsbattery2, mtktsxtal"</formula1>
    </dataValidation>
    <dataValidation type="list" allowBlank="1" showInputMessage="1" showErrorMessage="1" sqref="AE1">
      <formula1>'[3]6755_tz'!A2:A97</formula1>
    </dataValidation>
    <dataValidation type="list" allowBlank="1" showInputMessage="1" sqref="AA5">
      <formula1>'[2]6755_coolers'!A2:A134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'[1]6755_coolers'!A2:A134</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89">
    <tabColor rgb="FFFF0000"/>
  </sheetPr>
  <dimension ref="A1:BD122"/>
  <sheetViews>
    <sheetView zoomScale="90" zoomScaleNormal="90" workbookViewId="0">
      <selection activeCell="AH10" sqref="AH10:AJ5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0.8554687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259</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244</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260</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247</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245</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AA19">
      <formula1>'[4]6735_coolers'!A2:A134</formula1>
    </dataValidation>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I68 AA47 C19 AY12 AY68 C26 AY40 AY61 AY54 K19 K12 K5 AY33 AY5 AE54 AA26 AM5 AM61 AM54 AM47 AM40 AM33 AM26 AM19 AM12 AM68 K26 AQ61 AQ54 AQ47 AQ40 AQ33 AQ26 AQ19 AQ12 AQ68 AA40 AU61 AU54 AU47 AU40 AU33 AU26 AU19 AA33 AI61 AI54 AI5 AE5 AI12 AI19 AI26 AI33 AI40 AI47">
      <formula1>'6755_coolers'!A2:A137</formula1>
    </dataValidation>
    <dataValidation type="list" allowBlank="1" showInputMessage="1" showErrorMessage="1" sqref="AU1 C1 G1 AY1 O1 S1 W1 AA1 K1 AM1 AQ1 AI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B1 AN1 AR1 H77 L77 AZ77 AF1 AB77 P77 D77 AV1 AZ1 AV77 AF77 AJ77 AN77 AR77 AJ1">
      <formula1>"ENABLE,DISABLE"</formula1>
    </dataValidation>
    <dataValidation type="list" allowBlank="1" showInputMessage="1" showErrorMessage="1" sqref="AA34:AA36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55:AA57 G62:G64 K48:K50 K55:K57 K62:K64 W13:W15 W69:W71 W20:W22 W27:W29 W34:W36 W41:W43 W6:W8 W48:W50 W55:W57 W62:W64 C27:C29 AU6:AU8 AM6:AM8 G13:G15 AA48:AA50 AA6:AA8 AI62:AI64 AA27:AA29 C20:C22 AY62:AY64 K6:K8 AY69:AY71 K13:K15 AY48:AY50 AY41:AY43 AY34:AY36 AY27:AY29 AY13:AY15 K27:K29 AY6:AY8 C41:C43 AA69:AA71 AI6:AI8 AM55:AM57 AM48:AM50 AM41:AM43 AM34:AM36 AM27:AM29 AM20:AM22 AM69:AM71 AM13:AM15 AM62:AM64 K20:K22 AQ55:AQ57 AQ48:AQ50 AQ41:AQ43 AQ34:AQ36 AQ27:AQ29 AQ20:AQ22 AQ69:AQ71 AQ13:AQ15 AQ62:AQ64 AA62:AA64 AU55:AU57 AU48:AU50 AU41:AU43 AU34:AU36 AU27:AU29 AU20:AU22 AU69:AU71 AU13:AU15 AA41:AA43 AA13:AA15 AI55:AI57 AE6:AE8 AI20:AI22 AI13:AI15 AI27:AI29 AI48:AI50 AI34:AI36 AI41:AI43">
      <formula1>"NULL, CPU0 loading(%), Wifi usage(Kb/s), &lt; Mobile usage(Kb/s), EXIT, mtktscpu, mtktsabb, mtktspmic, mtktsbattery, mtktspa, mtktswmt, mtktsAP, mtktsbuck, mtktsbattery2, mtktsxtal"</formula1>
    </dataValidation>
    <dataValidation type="list" allowBlank="1" showInputMessage="1" showErrorMessage="1" sqref="AE1">
      <formula1>'[3]6755_tz'!A2:A97</formula1>
    </dataValidation>
    <dataValidation type="list" allowBlank="1" showInputMessage="1" sqref="AA5">
      <formula1>'[2]6755_coolers'!A2:A134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'[1]6755_coolers'!A2:A134</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90">
    <tabColor rgb="FFFF0000"/>
  </sheetPr>
  <dimension ref="A1:BD122"/>
  <sheetViews>
    <sheetView zoomScale="90" zoomScaleNormal="90" workbookViewId="0">
      <selection activeCell="AH10" sqref="AH10:AJ5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259</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244</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246</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243</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245</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AA19">
      <formula1>'[4]6735_coolers'!A2:A134</formula1>
    </dataValidation>
    <dataValidation type="list" allowBlank="1" showInputMessage="1" sqref="C12">
      <formula1>'[1]6755_coolers'!A2:A134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AE1">
      <formula1>'[3]6755_tz'!A2:A97</formula1>
    </dataValidation>
    <dataValidation type="list" allowBlank="1" showInputMessage="1" showErrorMessage="1" sqref="AA34:AA36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55:AA57 G62:G64 K48:K50 K55:K57 K62:K64 W13:W15 W69:W71 W20:W22 W27:W29 W34:W36 W41:W43 W6:W8 W48:W50 W55:W57 W62:W64 C27:C29 AU6:AU8 AM6:AM8 G13:G15 AA48:AA50 AA6:AA8 AI62:AI64 AA27:AA29 C20:C22 AY62:AY64 K27:K29 AY69:AY71 K13:K15 AY48:AY50 AY41:AY43 AY34:AY36 AY27:AY29 AY13:AY15 K20:K22 AA69:AA71 C41:C43 AA62:AA64 AI6:AI8 AM55:AM57 AM48:AM50 AM41:AM43 AM34:AM36 AM27:AM29 AM20:AM22 AM69:AM71 AM13:AM15 AM62:AM64 K6:K8 AQ55:AQ57 AQ48:AQ50 AQ41:AQ43 AQ34:AQ36 AQ27:AQ29 AQ20:AQ22 AQ69:AQ71 AQ13:AQ15 AQ62:AQ64 AY6:AY8 AU55:AU57 AU48:AU50 AU41:AU43 AU34:AU36 AU27:AU29 AU20:AU22 AU69:AU71 AU13:AU15 AA41:AA43 AA13:AA15 AI55:AI57 AE6:AE8 AI20:AI22 AI13:AI15 AI27:AI29 AI48:AI50 AI34:AI36 AI41:AI43">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B1 AN1 AR1 H77 L77 AZ77 AF1 AB77 P77 D77 AV1 AZ1 AV77 AF77 AJ77 AN77 AR77 AJ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A1 K1 AM1 AQ1 AI1">
      <formula1>'6755_tz'!A2:A97</formula1>
    </dataValidation>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I68 AA47 C19 AY12 AY68 C26 AY40 AY61 AY54 K19 K12 K5 AY33 AA26 AE54 AA40 AM5 AM61 AM54 AM47 AM40 AM33 AM26 AM19 AM12 AM68 K26 AQ61 AQ54 AQ47 AQ40 AQ33 AQ26 AQ19 AQ12 AQ68 AY5 AU61 AU54 AU47 AU40 AU33 AU26 AU19 AA33 AI61 AI54 AI5 AE5 AI12 AI19 AI26 AI33 AI40 AI47">
      <formula1>'6755_coolers'!A2:A137</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91">
    <tabColor rgb="FFFF0000"/>
  </sheetPr>
  <dimension ref="A1:BD124"/>
  <sheetViews>
    <sheetView zoomScale="90" zoomScaleNormal="90" workbookViewId="0">
      <selection activeCell="AH10" sqref="AH10:AJ5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8554687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257</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261</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262</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138</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row r="123" spans="1:53" ht="15.75">
      <c r="AH123" s="51"/>
      <c r="AI123" s="51"/>
      <c r="AJ123" s="51"/>
    </row>
    <row r="124" spans="1:53" ht="15.75">
      <c r="AH124" s="51"/>
      <c r="AI124" s="51"/>
      <c r="AJ124" s="51"/>
    </row>
  </sheetData>
  <phoneticPr fontId="8" type="noConversion"/>
  <dataValidations count="13">
    <dataValidation type="list" allowBlank="1" showInputMessage="1" sqref="AA19">
      <formula1>'[4]6735_coolers'!A2:A134</formula1>
    </dataValidation>
    <dataValidation type="list" allowBlank="1" showInputMessage="1" sqref="C12">
      <formula1>'[1]6755_coolers'!A2:A134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AE1">
      <formula1>'[3]6755_tz'!A2:A97</formula1>
    </dataValidation>
    <dataValidation type="list" allowBlank="1" showInputMessage="1" showErrorMessage="1" sqref="AI69:AI71 AY20:AY22 AE55:AE57 AE48:AE50 AE41:AE43 AE34:AE36 AE27:AE29 AE20:AE22 AE69:AE71 AE13:AE15 AE62:AE64 AI62:AI64 AU62:AU64 O13:O15 O69:O71 O20:O22 O27:O29 O34:O36 O41:O43 O6:O8 O48:O50 O55:O57 O62:O64 C69:C71 C34:C36 C6:C8 C48:C50 C55:C57 C62:C64 S13:S15 S69:S71 S20:S22 S27:S29 S34:S36 S41:S43 S6:S8 S48:S50 S55:S57 S62:S64 AY6:AY8 G69:G71 G20:G22 K69:K71 G27:G29 G34:G36 G41:G43 AQ6:AQ8 K34:K36 G6:G8 G48:G50 G55:G57 K41:K43 AY55:AY57 G62:G64 K48:K50 K55:K57 K62:K64 W13:W15 W69:W71 W20:W22 W27:W29 W34:W36 W41:W43 W6:W8 W48:W50 W55:W57 W62:W64 C27:C29 AU6:AU8 AM6:AM8 G13:G15 AA34:AA36 AA55:AA57 AA48:AA50 AA6:AA8 C20:C22 AY62:AY64 AA27:AA29 AY69:AY71 AA69:AA71 AY48:AY50 AY41:AY43 AY34:AY36 AY27:AY29 AY13:AY15 K27:K29 K13:K15 C41:C43 K20:K22 AI6:AI8 AM55:AM57 AM48:AM50 AM41:AM43 AM34:AM36 AM27:AM29 AM20:AM22 AM69:AM71 AM13:AM15 AM62:AM64 K6:K8 AQ55:AQ57 AQ48:AQ50 AQ41:AQ43 AQ34:AQ36 AQ27:AQ29 AQ20:AQ22 AQ69:AQ71 AQ13:AQ15 AQ62:AQ64 AA62:AA64 AU55:AU57 AU48:AU50 AU41:AU43 AU34:AU36 AU27:AU29 AU20:AU22 AU69:AU71 AU13:AU15 AA41:AA43 AA13:AA15 AI55:AI57 AE6:AE8 AI20:AI22 AI13:AI15 AI27:AI29 AI48:AI50 AI34:AI36 AI41:AI43">
      <formula1>"NULL, CPU0 loading(%), Wifi usage(Kb/s), &lt; Mobile usage(Kb/s), EXIT, mtktscpu, mtktsabb, mtktspmic, mtktsbattery, mtktspa, mtktswmt, mtktsAP, mtktsbuck, mtktsbattery2, mtktsxtal"</formula1>
    </dataValidation>
    <dataValidation type="list" allowBlank="1" showInputMessage="1" showErrorMessage="1" sqref="AF1 D1 H1 T1 X1 P1 L1 X77 AB1 AN1 AR1 H77 L77 AZ77 T77 AB77 P77 D77 AV1 AZ1 AV77 AF77 AJ77 AN77 AR77 AJ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A1 K1 AM1 AQ1 AI1">
      <formula1>'6755_tz'!A2:A97</formula1>
    </dataValidation>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I68 AA47 C19 AY12 AY68 C26 AY40 AY61 AY54 K19 K12 K5 AY33 AY5 AE54 AA26 AM5 AM61 AM54 AM47 AM40 AM33 AM26 AM19 AM12 AM68 K26 AQ61 AQ54 AQ47 AQ40 AQ33 AQ26 AQ19 AQ12 AQ68 AA40 AU61 AU54 AU47 AU40 AU33 AU26 AU19 AA33 AI61 AI54 AI5 AE5 AI12 AI19 AI26 AI33 AI40 AI47">
      <formula1>'6755_coolers'!A2:A137</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92">
    <tabColor rgb="FFFF0000"/>
  </sheetPr>
  <dimension ref="A1:BD122"/>
  <sheetViews>
    <sheetView zoomScale="90" zoomScaleNormal="90" workbookViewId="0">
      <selection activeCell="AH10" sqref="AH10:AJ5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710937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248</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257</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230</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237</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241</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disablePrompts="1" count="13">
    <dataValidation type="list" allowBlank="1" showInputMessage="1" sqref="AA19">
      <formula1>'[4]6735_coolers'!A2:A134</formula1>
    </dataValidation>
    <dataValidation type="list" allowBlank="1" showInputMessage="1" sqref="AE61 AE47 AE40 AE33 AE26 AE19 AE12 AE68 AQ5 AU5 C5 C33 C47 C54 C61 C68 AA12 G5 G19 G26 G33 G40 G47 G54 G61 G68 AY19 AA68 AY26 K19 K33 K40 K47 K54 K61 K68 O12 O5 O19 O26 O33 O40 O47 O54 O61 O68 S12 S5 S19 S26 S33 S40 S47 S54 S61 S68 W12 W5 W19 W26 W33 W40 W47 W54 W61 W68 C40 AY47 G12 AY61 AY54 AA61 AA54 AA47 C19 AY12 AY68 C26 AY40 AI61 AA26 AA40 AA33 K12 AY33 AY5 AE54 AI68 AM5 AM61 AM54 AM47 AM40 AM33 AM26 AM19 AM12 AM68 K5 AQ61 AQ54 AQ47 AQ40 AQ33 AQ26 AQ19 AQ12 AQ68 K26 AU61 AU54 AU47 AU40 AU33 AU26 AU19 AU12 AU68 AI54 AI5 AE5 AI12 AI19 AI26 AI33 AI40 AI47">
      <formula1>'6755_coolers'!A2:A137</formula1>
    </dataValidation>
    <dataValidation type="list" allowBlank="1" showInputMessage="1" showErrorMessage="1" sqref="AA1 C1 G1 AY1 O1 S1 W1 AU1 K1 AM1 AQ1 AI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F1 AN1 AR1 H77 AJ77 AZ77 L77 AB77 P77 D77 AV1 AZ1 AV77 AF77 AB1 AN77 AR77 AJ1">
      <formula1>"ENABLE,DISABLE"</formula1>
    </dataValidation>
    <dataValidation type="list" allowBlank="1" showInputMessage="1" showErrorMessage="1" sqref="K13:K15 AY20:AY22 AE55:AE57 AE48:AE50 AE41:AE43 AE34:AE36 AE27:AE29 AE20:AE22 AE69:AE71 AE13:AE15 AE62:AE64 AQ6:AQ8 AA34:AA36 O13:O15 O69:O71 O20:O22 O27:O29 O34:O36 O41:O43 O6:O8 O48:O50 O55:O57 O62:O64 C69:C71 C34:C36 C6:C8 C48:C50 C55:C57 C62:C64 S13:S15 S69:S71 S20:S22 S27:S29 S34:S36 S41:S43 S6:S8 S48:S50 S55:S57 S62:S64 AY55:AY57 G69:G71 G20:G22 K69:K71 G27:G29 G34:G36 G41:G43 K20:K22 K34:K36 G6:G8 G48:G50 G55:G57 K41:K43 AY6:AY8 G62:G64 K48:K50 K55:K57 K62:K64 W13:W15 W69:W71 W20:W22 W27:W29 W34:W36 W41:W43 W6:W8 W48:W50 W55:W57 W62:W64 C27:C29 AU6:AU8 AM6:AM8 G13:G15 AY48:AY50 AY41:AY43 AY34:AY36 AY27:AY29 C20:C22 AY62:AY64 AA55:AA57 AY69:AY71 AA48:AA50 AA6:AA8 AA27:AA29 AA69:AA71 AA62:AA64 AY13:AY15 AA41:AA43 AI69:AI71 C41:C43 AI62:AI64 AI6:AI8 AM55:AM57 AM48:AM50 AM41:AM43 AM34:AM36 AM27:AM29 AM20:AM22 AM69:AM71 AM13:AM15 AM62:AM64 K6:K8 AQ55:AQ57 AQ48:AQ50 AQ41:AQ43 AQ34:AQ36 AQ27:AQ29 AQ20:AQ22 AQ69:AQ71 AQ13:AQ15 AQ62:AQ64 K27:K29 AU55:AU57 AU48:AU50 AU41:AU43 AU34:AU36 AU27:AU29 AU20:AU22 AU69:AU71 AU13:AU15 AU62:AU64 AA13:AA15 AI55:AI57 AE6:AE8 AI20:AI22 AI13:AI15 AI27:AI29 AI48:AI50 AI34:AI36 AI41:AI43">
      <formula1>"NULL, CPU0 loading(%), Wifi usage(Kb/s), &lt; Mobile usage(Kb/s), EXIT, mtktscpu, mtktsabb, mtktspmic, mtktsbattery, mtktspa, mtktswmt, mtktsAP, mtktsbuck, mtktsbattery2, mtktsxtal"</formula1>
    </dataValidation>
    <dataValidation type="list" allowBlank="1" showInputMessage="1" showErrorMessage="1" sqref="AE1">
      <formula1>'[3]6755_tz'!A2:A97</formula1>
    </dataValidation>
    <dataValidation type="list" allowBlank="1" showInputMessage="1" sqref="AA5">
      <formula1>'[2]6755_coolers'!A2:A134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'[1]6755_coolers'!A2:A134</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sheetPr codeName="Sheet86">
    <tabColor rgb="FFFF0000"/>
  </sheetPr>
  <dimension ref="A1:BD122"/>
  <sheetViews>
    <sheetView zoomScale="90" zoomScaleNormal="90" workbookViewId="0">
      <selection activeCell="AJ4" sqref="AJ4"/>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710937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57">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1</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4">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4">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4">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248</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257</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230</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237</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241</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AA19">
      <formula1>'[4]6735_coolers'!A2:A134</formula1>
    </dataValidation>
    <dataValidation type="list" allowBlank="1" showInputMessage="1" sqref="AE61 AE47 AE40 AE33 AE26 AE19 AE12 AE68 AI19 AU5 C5 C33 C47 C54 C61 C68 AU12 G5 G19 G26 G33 G40 G47 G54 G61 G68 AY19 AI47 AY26 K19 K33 K40 K47 K54 K61 K68 O12 O5 O19 O26 O33 O40 O47 O54 O61 O68 S12 S5 S19 S26 S33 S40 S47 S54 S61 S68 W12 W5 W19 W26 W33 W40 W47 W54 W61 W68 C40 AY47 G12 AI54 AI33 AI26 AI68 AI12 C19 AY12 AY68 C26 AY40 AU68 AQ5 AY61 AY54 K26 AY33 K12 AE54 AY5 AM5 AM61 AM54 AM47 AM40 AM33 AM26 AM19 AM12 AM68 K5 AQ61 AQ54 AQ47 AQ40 AQ33 AQ26 AQ19 AQ12 AQ68 AI40 AU61 AU54 AU47 AU40 AU33 AU26 AU19 AI5 AI61 AA12 AA68 AA61 AA54 AA47 AA26 AA40 AA33 AE5">
      <formula1>'6755_coolers'!A2:A137</formula1>
    </dataValidation>
    <dataValidation type="list" allowBlank="1" showInputMessage="1" showErrorMessage="1" sqref="AU1 C1 G1 AY1 O1 S1 W1 AI1 K1 AM1 AQ1 AA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J1 AN1 AR1 H77 AF1 AZ77 L77 AB77 P77 D77 AV1 AZ1 AV77 AF77 AJ77 AN77 AR77 AB1">
      <formula1>"ENABLE,DISABLE"</formula1>
    </dataValidation>
    <dataValidation type="list" allowBlank="1" showInputMessage="1" showErrorMessage="1" sqref="AI69:AI71 AY20:AY22 AE55:AE57 AE48:AE50 AE41:AE43 AE34:AE36 AE27:AE29 AE20:AE22 AE69:AE71 AE13:AE15 AE62:AE64 AI62:AI64 AU62:AU64 O13:O15 O69:O71 O20:O22 O27:O29 O34:O36 O41:O43 O6:O8 O48:O50 O55:O57 O62:O64 C69:C71 C34:C36 C6:C8 C48:C50 C55:C57 C62:C64 S13:S15 S69:S71 S20:S22 S27:S29 S34:S36 S41:S43 S6:S8 S48:S50 S55:S57 S62:S64 K13:K15 G69:G71 G20:G22 K69:K71 G27:G29 G34:G36 G41:G43 K20:K22 K34:K36 G6:G8 G48:G50 G55:G57 K41:K43 AY6:AY8 G62:G64 K48:K50 K55:K57 K62:K64 W13:W15 W69:W71 W20:W22 W27:W29 W34:W36 W41:W43 W6:W8 W48:W50 W55:W57 W62:W64 C27:C29 AU6:AU8 AM6:AM8 G13:G15 AI55:AI57 AI34:AI36 AI27:AI29 AI13:AI15 C20:C22 AY62:AY64 AI20:AI22 AY69:AY71 K27:K29 AQ6:AQ8 AY55:AY57 AY48:AY50 AY41:AY43 AY13:AY15 AI48:AI50 AY34:AY36 C41:C43 AY27:AY29 AA41:AA43 AM55:AM57 AM48:AM50 AM41:AM43 AM34:AM36 AM27:AM29 AM20:AM22 AM69:AM71 AM13:AM15 AM62:AM64 K6:K8 AQ55:AQ57 AQ48:AQ50 AQ41:AQ43 AQ34:AQ36 AQ27:AQ29 AQ20:AQ22 AQ69:AQ71 AQ13:AQ15 AQ62:AQ64 AI41:AI43 AU55:AU57 AU48:AU50 AU41:AU43 AU34:AU36 AU27:AU29 AU20:AU22 AU69:AU71 AU13:AU15 AI6:AI8 AA13:AA15 AA34:AA36 AA55:AA57 AA48:AA50 AA6:AA8 AA27:AA29 AA69:AA71 AA62:AA64 AE6:AE8">
      <formula1>"NULL, CPU0 loading(%), Wifi usage(Kb/s), &lt; Mobile usage(Kb/s), EXIT, mtktscpu, mtktsabb, mtktspmic, mtktsbattery, mtktspa, mtktswmt, mtktsAP, mtktsbuck, mtktsbattery2, mtktsxtal"</formula1>
    </dataValidation>
    <dataValidation type="list" allowBlank="1" showInputMessage="1" showErrorMessage="1" sqref="AE1">
      <formula1>'[3]6755_tz'!A2:A97</formula1>
    </dataValidation>
    <dataValidation type="list" allowBlank="1" showInputMessage="1" sqref="AA5">
      <formula1>'[2]6755_coolers'!A2:A134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'[1]6755_coolers'!A2:A134</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sheetPr codeName="Sheet85">
    <tabColor rgb="FFFF0000"/>
  </sheetPr>
  <dimension ref="A1:BD122"/>
  <sheetViews>
    <sheetView tabSelected="1" zoomScale="90" zoomScaleNormal="90" workbookViewId="0">
      <selection activeCell="AM45" sqref="AM4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570312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8</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279</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259</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244</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246</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243</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249</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C12">
      <formula1>'[1]6755_coolers'!A2:A134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AE1">
      <formula1>'[3]6755_tz'!A2:A97</formula1>
    </dataValidation>
    <dataValidation type="list" allowBlank="1" showInputMessage="1" showErrorMessage="1" sqref="AA34:AA36 AY20:AY22 AE55:AE57 AE48:AE50 AE41:AE43 AE34:AE36 AE27:AE29 AE20:AE22 AE69:AE71 AE13:AE15 AE62:AE64 AA41:AA43 AU62:AU64 O13:O15 O69:O71 O20:O22 O27:O29 O34:O36 O41:O43 O6:O8 O48:O50 O55:O57 O62:O64 C69:C71 C34:C36 C6:C8 C48:C50 C55:C57 C62:C64 S13:S15 S69:S71 S20:S22 S27:S29 S34:S36 S41:S43 S6:S8 S48:S50 S55:S57 S62:S64 AQ6:AQ8 G69:G71 G20:G22 K69:K71 G27:G29 G34:G36 G41:G43 AY55:AY57 K34:K36 G6:G8 G48:G50 G55:G57 K41:K43 AA55:AA57 G62:G64 K48:K50 K55:K57 K62:K64 W13:W15 W69:W71 W20:W22 W27:W29 W34:W36 W41:W43 W6:W8 W48:W50 W55:W57 W62:W64 C27:C29 AU6:AU8 AM6:AM8 G13:G15 AA48:AA50 AA6:AA8 AA13:AA15 AA27:AA29 C20:C22 AY62:AY64 K27:K29 AY69:AY71 K13:K15 AY48:AY50 AY41:AY43 AY34:AY36 AY27:AY29 AY13:AY15 K20:K22 AY6:AY8 C41:C43 AA69:AA71 AE6:AE8 AM55:AM57 AM48:AM50 AM41:AM43 AM34:AM36 AM27:AM29 AM20:AM22 AM69:AM71 AM13:AM15 AM62:AM64 K6:K8 AQ55:AQ57 AQ48:AQ50 AQ41:AQ43 AQ34:AQ36 AQ27:AQ29 AQ20:AQ22 AQ69:AQ71 AQ13:AQ15 AQ62:AQ64 AA62:AA64 AU55:AU57 AU48:AU50 AU41:AU43 AU34:AU36 AU27:AU29 AU20:AU22 AU69:AU71 AU13:AU15 AI55:AI57 AI20:AI22 AI13:AI15 AI27:AI29 AI62:AI64 AI69:AI71 AI48:AI50 AI34:AI36 AI41:AI43 AI6:AI8">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B1 AN1 AR1 H77 L77 AZ77 AF1 AB77 P77 D77 AV1 AZ1 AV77 AF77 AJ77 AN77 AR77 AJ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A1 K1 AM1 AQ1 AI1">
      <formula1>'6755_tz'!A2:A97</formula1>
    </dataValidation>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E5 AA47 C19 AY12 AY68 C26 AY40 AY61 AY54 K19 K12 K5 AY33 AY5 AE54 AA26 AM5 AM61 AM54 AM47 AM40 AM33 AM26 AM19 AM12 AM68 K26 AQ61 AQ54 AQ47 AQ40 AQ33 AQ26 AQ19 AQ12 AQ68 AA40 AU61 AU54 AU47 AU40 AU33 AU26 AU19 AA33 AI54 AI12 AI19 AI26 AI68 AI33 AI40 AI61 AI47 AI5">
      <formula1>'6755_coolers'!A2:A137</formula1>
    </dataValidation>
    <dataValidation type="list" allowBlank="1" showInputMessage="1" sqref="AA19">
      <formula1>'[4]6735_coolers'!A2:A134</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sheetPr codeName="Sheet84">
    <tabColor rgb="FFFF0000"/>
  </sheetPr>
  <dimension ref="A1:BD122"/>
  <sheetViews>
    <sheetView zoomScale="90" zoomScaleNormal="90" workbookViewId="0">
      <selection activeCell="AI5" sqref="AI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7109375" style="7" customWidth="1"/>
    <col min="54" max="54" width="13.42578125" style="1" bestFit="1" customWidth="1"/>
    <col min="55" max="55" width="21" style="1" bestFit="1" customWidth="1"/>
    <col min="56"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8</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279</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259</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244</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260</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247</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245</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C12">
      <formula1>'[1]6755_coolers'!A2:A134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AE1">
      <formula1>'[3]6755_tz'!A2:A97</formula1>
    </dataValidation>
    <dataValidation type="list" allowBlank="1" showInputMessage="1" showErrorMessage="1" sqref="AA34:AA36 AY20:AY22 AE55:AE57 AE48:AE50 AE41:AE43 AE34:AE36 AE27:AE29 AE20:AE22 AE69:AE71 AE13:AE15 AE62:AE64 AA41:AA43 AU62:AU64 O13:O15 O69:O71 O20:O22 O27:O29 O34:O36 O41:O43 O6:O8 O48:O50 O55:O57 O62:O64 C69:C71 C34:C36 C6:C8 C48:C50 C55:C57 C62:C64 S13:S15 S69:S71 S20:S22 S27:S29 S34:S36 S41:S43 S6:S8 S48:S50 S55:S57 S62:S64 AQ6:AQ8 G69:G71 G20:G22 K69:K71 G27:G29 G34:G36 G41:G43 AY55:AY57 K34:K36 G6:G8 G48:G50 G55:G57 K41:K43 AA55:AA57 G62:G64 K48:K50 K55:K57 K62:K64 W13:W15 W69:W71 W20:W22 W27:W29 W34:W36 W41:W43 W6:W8 W48:W50 W55:W57 W62:W64 C27:C29 AU6:AU8 AM6:AM8 G13:G15 AA48:AA50 AA6:AA8 AA13:AA15 AA27:AA29 C20:C22 AY62:AY64 K27:K29 AY69:AY71 K13:K15 AY48:AY50 AY41:AY43 AY34:AY36 AY27:AY29 AY13:AY15 K20:K22 AY6:AY8 C41:C43 AA69:AA71 AE6:AE8 AM55:AM57 AM48:AM50 AM41:AM43 AM34:AM36 AM27:AM29 AM20:AM22 AM69:AM71 AM13:AM15 AM62:AM64 K6:K8 AQ55:AQ57 AQ48:AQ50 AQ41:AQ43 AQ34:AQ36 AQ27:AQ29 AQ20:AQ22 AQ69:AQ71 AQ13:AQ15 AQ62:AQ64 AA62:AA64 AU55:AU57 AU48:AU50 AU41:AU43 AU34:AU36 AU27:AU29 AU20:AU22 AU69:AU71 AU13:AU15 AI55:AI57 AI20:AI22 AI13:AI15 AI27:AI29 AI62:AI64 AI69:AI71 AI48:AI50 AI34:AI36 AI41:AI43 AI6:AI8">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B1 AN1 AR1 H77 L77 AZ77 AF1 AB77 P77 D77 AV1 AZ1 AV77 AF77 AJ77 AN77 AR77 AJ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A1 K1 AM1 AQ1 AI1">
      <formula1>'6755_tz'!A2:A97</formula1>
    </dataValidation>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E5 AA47 C19 AY12 AY68 C26 AY40 AY61 AY54 K19 K12 K5 AY33 AY5 AE54 AA26 AM5 AM61 AM54 AM47 AM40 AM33 AM26 AM19 AM12 AM68 K26 AQ61 AQ54 AQ47 AQ40 AQ33 AQ26 AQ19 AQ12 AQ68 AA40 AU61 AU54 AU47 AU40 AU33 AU26 AU19 AA33 AI54 AI12 AI19 AI26 AI68 AI33 AI40 AI61 AI47 AI5">
      <formula1>'6755_coolers'!A2:A137</formula1>
    </dataValidation>
    <dataValidation type="list" allowBlank="1" showInputMessage="1" sqref="AA19">
      <formula1>'[4]6735_coolers'!A2:A134</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sheetPr codeName="Sheet83">
    <tabColor rgb="FFFF0000"/>
  </sheetPr>
  <dimension ref="A1:BD122"/>
  <sheetViews>
    <sheetView zoomScale="85" zoomScaleNormal="85" workbookViewId="0">
      <selection activeCell="AI5" sqref="AI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0.8554687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8</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279</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259</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244</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246</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243</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245</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E5 AA47 C19 AY12 AY68 C26 AY40 AY61 AY54 K19 K12 K5 AY33 AA26 AE54 AA40 AM5 AM61 AM54 AM47 AM40 AM33 AM26 AM19 AM12 AM68 K26 AQ61 AQ54 AQ47 AQ40 AQ33 AQ26 AQ19 AQ12 AQ68 AY5 AU61 AU54 AU47 AU40 AU33 AU26 AU19 AA33 AI54 AI12 AI19 AI26 AI68 AI33 AI40 AI61 AI47 AI5">
      <formula1>'6755_coolers'!A2:A137</formula1>
    </dataValidation>
    <dataValidation type="list" allowBlank="1" showInputMessage="1" showErrorMessage="1" sqref="AU1 C1 G1 AY1 O1 S1 W1 AA1 K1 AM1 AQ1 AI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B1 AN1 AR1 H77 L77 AZ77 AF1 AB77 P77 D77 AV1 AZ1 AV77 AF77 AJ77 AN77 AR77 AJ1">
      <formula1>"ENABLE,DISABLE"</formula1>
    </dataValidation>
    <dataValidation type="list" allowBlank="1" showInputMessage="1" showErrorMessage="1" sqref="AA34:AA36 AY20:AY22 AE55:AE57 AE48:AE50 AE41:AE43 AE34:AE36 AE27:AE29 AE20:AE22 AE69:AE71 AE13:AE15 AE62:AE64 AA41:AA43 AU62:AU64 O13:O15 O69:O71 O20:O22 O27:O29 O34:O36 O41:O43 O6:O8 O48:O50 O55:O57 O62:O64 C69:C71 C34:C36 C6:C8 C48:C50 C55:C57 C62:C64 S13:S15 S69:S71 S20:S22 S27:S29 S34:S36 S41:S43 S6:S8 S48:S50 S55:S57 S62:S64 AQ6:AQ8 G69:G71 G20:G22 K69:K71 G27:G29 G34:G36 G41:G43 AY55:AY57 K34:K36 G6:G8 G48:G50 G55:G57 K41:K43 AA55:AA57 G62:G64 K48:K50 K55:K57 K62:K64 W13:W15 W69:W71 W20:W22 W27:W29 W34:W36 W41:W43 W6:W8 W48:W50 W55:W57 W62:W64 C27:C29 AU6:AU8 AM6:AM8 G13:G15 AA48:AA50 AA6:AA8 AA13:AA15 AA27:AA29 C20:C22 AY62:AY64 K27:K29 AY69:AY71 K13:K15 AY48:AY50 AY41:AY43 AY34:AY36 AY27:AY29 AY13:AY15 K20:K22 AA69:AA71 C41:C43 AA62:AA64 AE6:AE8 AM55:AM57 AM48:AM50 AM41:AM43 AM34:AM36 AM27:AM29 AM20:AM22 AM69:AM71 AM13:AM15 AM62:AM64 K6:K8 AQ55:AQ57 AQ48:AQ50 AQ41:AQ43 AQ34:AQ36 AQ27:AQ29 AQ20:AQ22 AQ69:AQ71 AQ13:AQ15 AQ62:AQ64 AY6:AY8 AU55:AU57 AU48:AU50 AU41:AU43 AU34:AU36 AU27:AU29 AU20:AU22 AU69:AU71 AU13:AU15 AI55:AI57 AI20:AI22 AI13:AI15 AI27:AI29 AI62:AI64 AI69:AI71 AI48:AI50 AI34:AI36 AI41:AI43 AI6:AI8">
      <formula1>"NULL, CPU0 loading(%), Wifi usage(Kb/s), &lt; Mobile usage(Kb/s), EXIT, mtktscpu, mtktsabb, mtktspmic, mtktsbattery, mtktspa, mtktswmt, mtktsAP, mtktsbuck, mtktsbattery2, mtktsxtal"</formula1>
    </dataValidation>
    <dataValidation type="list" allowBlank="1" showInputMessage="1" showErrorMessage="1" sqref="AE1">
      <formula1>'[3]6755_tz'!A2:A97</formula1>
    </dataValidation>
    <dataValidation type="list" allowBlank="1" showInputMessage="1" sqref="AA5">
      <formula1>'[2]6755_coolers'!A2:A134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'[1]6755_coolers'!A2:A134</formula1>
    </dataValidation>
    <dataValidation type="list" allowBlank="1" showInputMessage="1" sqref="AA19">
      <formula1>'[4]6735_coolers'!A2:A134</formula1>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sheetPr codeName="Sheet82">
    <tabColor rgb="FFFF0000"/>
  </sheetPr>
  <dimension ref="A1:BD124"/>
  <sheetViews>
    <sheetView zoomScale="85" zoomScaleNormal="85" workbookViewId="0">
      <selection activeCell="AI5" sqref="AI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2.28515625" style="7" customWidth="1"/>
    <col min="54" max="54" width="12.42578125" style="1" bestFit="1" customWidth="1"/>
    <col min="55" max="55" width="19.5703125" style="1" bestFit="1" customWidth="1"/>
    <col min="56" max="56" width="8"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8</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282</v>
      </c>
      <c r="AF5" s="43"/>
      <c r="AG5" s="10"/>
      <c r="AH5" s="12" t="s">
        <v>5</v>
      </c>
      <c r="AI5" s="13" t="s">
        <v>279</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6"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6"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6"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6"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6"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6"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6"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6"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6"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6"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6"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6"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6"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c r="BB77" s="61" t="s">
        <v>5</v>
      </c>
      <c r="BC77" s="62" t="s">
        <v>269</v>
      </c>
      <c r="BD77" s="63" t="s">
        <v>36</v>
      </c>
    </row>
    <row r="78" spans="1:56"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c r="BB78" s="61" t="s">
        <v>38</v>
      </c>
      <c r="BC78" s="64" t="s">
        <v>273</v>
      </c>
      <c r="BD78" s="65">
        <v>49000</v>
      </c>
    </row>
    <row r="79" spans="1:56"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c r="BB79" s="61" t="s">
        <v>38</v>
      </c>
      <c r="BC79" s="64" t="s">
        <v>274</v>
      </c>
      <c r="BD79" s="65">
        <v>1000</v>
      </c>
    </row>
    <row r="80" spans="1:56"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257</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261</v>
      </c>
      <c r="BA80" s="51"/>
      <c r="BB80" s="61" t="s">
        <v>38</v>
      </c>
      <c r="BC80" s="64" t="s">
        <v>275</v>
      </c>
      <c r="BD80" s="65">
        <v>200000</v>
      </c>
    </row>
    <row r="81" spans="1:56"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51"/>
      <c r="BB81" s="61" t="s">
        <v>38</v>
      </c>
      <c r="BC81" s="64" t="s">
        <v>276</v>
      </c>
      <c r="BD81" s="65">
        <v>5</v>
      </c>
    </row>
    <row r="82" spans="1:56"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262</v>
      </c>
      <c r="BA82" s="51"/>
      <c r="BB82" s="61" t="s">
        <v>38</v>
      </c>
      <c r="BC82" s="64" t="s">
        <v>277</v>
      </c>
      <c r="BD82" s="65">
        <v>3000</v>
      </c>
    </row>
    <row r="83" spans="1:56"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138</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51"/>
      <c r="BB83" s="61" t="s">
        <v>38</v>
      </c>
      <c r="BC83" s="64" t="s">
        <v>278</v>
      </c>
      <c r="BD83" s="65">
        <v>200</v>
      </c>
    </row>
    <row r="84" spans="1:56"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263</v>
      </c>
      <c r="BA84" s="51"/>
    </row>
    <row r="85" spans="1:56"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6"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6"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6"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6"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row>
    <row r="90" spans="1:56"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row>
    <row r="91" spans="1:56"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row>
    <row r="92" spans="1:56"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6"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6"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6"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6"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row r="123" spans="1:53" ht="15.75">
      <c r="AH123" s="51"/>
      <c r="AI123" s="51"/>
      <c r="AJ123" s="51"/>
    </row>
    <row r="124" spans="1:53" ht="15.75">
      <c r="AH124" s="51"/>
      <c r="AI124" s="51"/>
      <c r="AJ124" s="51"/>
    </row>
  </sheetData>
  <phoneticPr fontId="8" type="noConversion"/>
  <dataValidations count="13">
    <dataValidation type="list" allowBlank="1" showInputMessage="1" sqref="AE61 AE47 AE40 AE33 AE26 AE19 AE12 AE68 AA12 AU5 C5 C33 C47 C54 C61 C68 AU12 G5 G19 G26 G33 G40 G47 G54 G61 G68 AY19 AU68 AY26 AQ5 K33 K40 K47 K54 K61 K68 O12 O5 O19 O26 O33 O40 O47 O54 O61 O68 S12 S5 S19 S26 S33 S40 S47 S54 S61 S68 W12 W5 W19 W26 W33 W40 W47 W54 W61 W68 C40 AY47 G12 AA68 AA61 AA54 AE5 AA47 C19 AY12 AY68 C26 AY40 AY61 AY54 K19 K12 K5 AY33 AY5 AE54 AA26 AM5 AM61 AM54 AM47 AM40 AM33 AM26 AM19 AM12 AM68 K26 AQ61 AQ54 AQ47 AQ40 AQ33 AQ26 AQ19 AQ12 AQ68 AA40 AU61 AU54 AU47 AU40 AU33 AU26 AU19 AA33 AI54 AI12 AI19 AI26 AI68 AI33 AI40 AI61 AI47 AI5">
      <formula1>'6755_coolers'!A2:A137</formula1>
    </dataValidation>
    <dataValidation type="list" allowBlank="1" showInputMessage="1" showErrorMessage="1" sqref="AU1 C1 G1 AY1 O1 S1 W1 AA1 K1 AM1 AQ1 AI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F1 D1 H1 T1 X1 P1 L1 X77 AB1 AN1 AR1 H77 L77 AZ77 T77 AB77 P77 D77 AV1 AZ1 AV77 AF77 AJ77 AN77 AR77 AJ1">
      <formula1>"ENABLE,DISABLE"</formula1>
    </dataValidation>
    <dataValidation type="list" allowBlank="1" showInputMessage="1" showErrorMessage="1" sqref="AA41:AA43 AY20:AY22 AE55:AE57 AE48:AE50 AE41:AE43 AE34:AE36 AE27:AE29 AE20:AE22 AE69:AE71 AE13:AE15 AE62:AE64 AA13:AA15 AU62:AU64 O13:O15 O69:O71 O20:O22 O27:O29 O34:O36 O41:O43 O6:O8 O48:O50 O55:O57 O62:O64 C69:C71 C34:C36 C6:C8 C48:C50 C55:C57 C62:C64 S13:S15 S69:S71 S20:S22 S27:S29 S34:S36 S41:S43 S6:S8 S48:S50 S55:S57 S62:S64 AY6:AY8 G69:G71 G20:G22 K69:K71 G27:G29 G34:G36 G41:G43 AQ6:AQ8 K34:K36 G6:G8 G48:G50 G55:G57 K41:K43 AY55:AY57 G62:G64 K48:K50 K55:K57 K62:K64 W13:W15 W69:W71 W20:W22 W27:W29 W34:W36 W41:W43 W6:W8 W48:W50 W55:W57 W62:W64 C27:C29 AU6:AU8 AM6:AM8 G13:G15 AA34:AA36 AA55:AA57 AA48:AA50 AA6:AA8 C20:C22 AY62:AY64 AA27:AA29 AY69:AY71 AA69:AA71 AY48:AY50 AY41:AY43 AY34:AY36 AY27:AY29 AY13:AY15 K27:K29 K13:K15 C41:C43 K20:K22 AE6:AE8 AM55:AM57 AM48:AM50 AM41:AM43 AM34:AM36 AM27:AM29 AM20:AM22 AM69:AM71 AM13:AM15 AM62:AM64 K6:K8 AQ55:AQ57 AQ48:AQ50 AQ41:AQ43 AQ34:AQ36 AQ27:AQ29 AQ20:AQ22 AQ69:AQ71 AQ13:AQ15 AQ62:AQ64 AA62:AA64 AU55:AU57 AU48:AU50 AU41:AU43 AU34:AU36 AU27:AU29 AU20:AU22 AU69:AU71 AU13:AU15 AI55:AI57 AI20:AI22 AI13:AI15 AI27:AI29 AI62:AI64 AI69:AI71 AI48:AI50 AI34:AI36 AI41:AI43 AI6:AI8">
      <formula1>"NULL, CPU0 loading(%), Wifi usage(Kb/s), &lt; Mobile usage(Kb/s), EXIT, mtktscpu, mtktsabb, mtktspmic, mtktsbattery, mtktspa, mtktswmt, mtktsAP, mtktsbuck, mtktsbattery2, mtktsxtal"</formula1>
    </dataValidation>
    <dataValidation type="list" allowBlank="1" showInputMessage="1" showErrorMessage="1" sqref="AE1">
      <formula1>'[3]6755_tz'!A2:A97</formula1>
    </dataValidation>
    <dataValidation type="list" allowBlank="1" showInputMessage="1" sqref="AA5">
      <formula1>'[2]6755_coolers'!A2:A134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'[1]6755_coolers'!A2:A134</formula1>
    </dataValidation>
    <dataValidation type="list" allowBlank="1" showInputMessage="1" sqref="AA19">
      <formula1>'[4]6735_coolers'!A2:A134</formula1>
    </dataValidation>
  </dataValidation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sheetPr codeName="Sheet81">
    <tabColor rgb="FFFF0000"/>
  </sheetPr>
  <dimension ref="A1:BF122"/>
  <sheetViews>
    <sheetView zoomScale="90" zoomScaleNormal="90" workbookViewId="0">
      <selection activeCell="AH10" sqref="AH10:AJ5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85546875" style="7" customWidth="1"/>
    <col min="54" max="54" width="13.42578125" style="1" bestFit="1" customWidth="1"/>
    <col min="55" max="55" width="21" style="1" bestFit="1" customWidth="1"/>
    <col min="56" max="56" width="8.140625" style="1" bestFit="1" customWidth="1"/>
    <col min="57"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232</v>
      </c>
      <c r="AR1" s="4" t="s">
        <v>36</v>
      </c>
      <c r="AS1" s="6"/>
      <c r="AT1" s="2" t="s">
        <v>35</v>
      </c>
      <c r="AU1" s="3" t="s">
        <v>233</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8</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281</v>
      </c>
      <c r="T5" s="14"/>
      <c r="U5" s="10"/>
      <c r="V5" s="12" t="s">
        <v>5</v>
      </c>
      <c r="W5" s="13" t="s">
        <v>280</v>
      </c>
      <c r="X5" s="14"/>
      <c r="Y5" s="10"/>
      <c r="Z5" s="12" t="s">
        <v>5</v>
      </c>
      <c r="AA5" s="13" t="s">
        <v>17</v>
      </c>
      <c r="AB5" s="14"/>
      <c r="AC5" s="10"/>
      <c r="AD5" s="12" t="s">
        <v>5</v>
      </c>
      <c r="AE5" s="13" t="s">
        <v>282</v>
      </c>
      <c r="AF5" s="43"/>
      <c r="AG5" s="10"/>
      <c r="AH5" s="12" t="s">
        <v>5</v>
      </c>
      <c r="AI5" s="13" t="s">
        <v>279</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95000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252</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85000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264</v>
      </c>
      <c r="AB19" s="14"/>
      <c r="AC19" s="10"/>
      <c r="AD19" s="12" t="s">
        <v>5</v>
      </c>
      <c r="AE19" s="13" t="s">
        <v>4</v>
      </c>
      <c r="AF19" s="14"/>
      <c r="AG19" s="10"/>
      <c r="AH19" s="12" t="s">
        <v>5</v>
      </c>
      <c r="AI19" s="54" t="s">
        <v>250</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78000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256</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44">
        <v>76000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54" t="s">
        <v>265</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44">
        <v>74000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54" t="s">
        <v>266</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72000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267</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58">
        <v>48000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58" t="s">
        <v>269</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59" t="s">
        <v>131</v>
      </c>
      <c r="AJ55" s="60">
        <v>999</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8"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8"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8"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8"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8"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8"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8"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8"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8"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8"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8"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8" s="7" customFormat="1" ht="16.5" thickBot="1">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8" s="7" customFormat="1" ht="16.5" thickBot="1">
      <c r="A77" s="51"/>
      <c r="B77" s="35" t="s">
        <v>119</v>
      </c>
      <c r="C77" s="36" t="s">
        <v>68</v>
      </c>
      <c r="D77" s="4" t="s">
        <v>36</v>
      </c>
      <c r="E77" s="51"/>
      <c r="F77" s="35" t="s">
        <v>119</v>
      </c>
      <c r="G77" s="36" t="s">
        <v>132</v>
      </c>
      <c r="H77" s="4" t="s">
        <v>36</v>
      </c>
      <c r="I77" s="51"/>
      <c r="J77" s="35" t="s">
        <v>5</v>
      </c>
      <c r="K77" s="47" t="s">
        <v>33</v>
      </c>
      <c r="L77" s="48" t="s">
        <v>37</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1"/>
      <c r="BB77" s="61" t="s">
        <v>5</v>
      </c>
      <c r="BC77" s="62" t="s">
        <v>269</v>
      </c>
      <c r="BD77" s="48" t="s">
        <v>36</v>
      </c>
      <c r="BE77" s="1"/>
      <c r="BF77" s="1"/>
    </row>
    <row r="78" spans="1:58" s="7" customFormat="1" ht="16.5" thickBot="1">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1"/>
      <c r="BB78" s="61" t="s">
        <v>38</v>
      </c>
      <c r="BC78" s="64" t="s">
        <v>273</v>
      </c>
      <c r="BD78" s="65">
        <v>49000</v>
      </c>
      <c r="BE78" s="1"/>
      <c r="BF78" s="1"/>
    </row>
    <row r="79" spans="1:58" s="7" customFormat="1" ht="16.5" thickBot="1">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234</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248</v>
      </c>
      <c r="BA79" s="1"/>
      <c r="BB79" s="61" t="s">
        <v>38</v>
      </c>
      <c r="BC79" s="64" t="s">
        <v>274</v>
      </c>
      <c r="BD79" s="65">
        <v>1000</v>
      </c>
      <c r="BE79" s="1"/>
      <c r="BF79" s="1"/>
    </row>
    <row r="80" spans="1:58" s="7" customFormat="1" ht="16.5" thickBot="1">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257</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230</v>
      </c>
      <c r="BA80" s="1"/>
      <c r="BB80" s="61" t="s">
        <v>38</v>
      </c>
      <c r="BC80" s="64" t="s">
        <v>275</v>
      </c>
      <c r="BD80" s="65">
        <v>200000</v>
      </c>
      <c r="BE80" s="1"/>
      <c r="BF80" s="1"/>
    </row>
    <row r="81" spans="1:58" s="7" customFormat="1" ht="16.5" thickBot="1">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258</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235</v>
      </c>
      <c r="BA81" s="20"/>
      <c r="BB81" s="61" t="s">
        <v>38</v>
      </c>
      <c r="BC81" s="64" t="s">
        <v>276</v>
      </c>
      <c r="BD81" s="65">
        <v>5</v>
      </c>
      <c r="BE81" s="20"/>
      <c r="BF81" s="20"/>
    </row>
    <row r="82" spans="1:58" s="7" customFormat="1" ht="16.5" thickBot="1">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226</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236</v>
      </c>
      <c r="AZ82" s="49" t="s">
        <v>237</v>
      </c>
      <c r="BA82" s="1"/>
      <c r="BB82" s="61" t="s">
        <v>38</v>
      </c>
      <c r="BC82" s="64" t="s">
        <v>277</v>
      </c>
      <c r="BD82" s="65">
        <v>3000</v>
      </c>
      <c r="BE82" s="1"/>
      <c r="BF82" s="1"/>
    </row>
    <row r="83" spans="1:58" s="7" customFormat="1" ht="16.5" thickBot="1">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238</v>
      </c>
      <c r="Y83" s="51"/>
      <c r="Z83" s="35" t="s">
        <v>38</v>
      </c>
      <c r="AA83" s="36" t="s">
        <v>55</v>
      </c>
      <c r="AB83" s="38" t="s">
        <v>238</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239</v>
      </c>
      <c r="BA83" s="1"/>
      <c r="BB83" s="61" t="s">
        <v>38</v>
      </c>
      <c r="BC83" s="64" t="s">
        <v>278</v>
      </c>
      <c r="BD83" s="65">
        <v>200</v>
      </c>
      <c r="BE83" s="1"/>
      <c r="BF83" s="1"/>
    </row>
    <row r="84" spans="1:58"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240</v>
      </c>
      <c r="Y84" s="51"/>
      <c r="Z84" s="35" t="s">
        <v>38</v>
      </c>
      <c r="AA84" s="36" t="s">
        <v>56</v>
      </c>
      <c r="AB84" s="38" t="s">
        <v>240</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241</v>
      </c>
      <c r="BA84" s="1"/>
      <c r="BB84" s="1"/>
      <c r="BC84" s="1"/>
      <c r="BD84" s="1"/>
      <c r="BE84" s="1"/>
      <c r="BF84" s="1"/>
    </row>
    <row r="85" spans="1:58"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242</v>
      </c>
      <c r="U85" s="51"/>
      <c r="V85" s="35" t="s">
        <v>38</v>
      </c>
      <c r="W85" s="36" t="s">
        <v>59</v>
      </c>
      <c r="X85" s="38" t="s">
        <v>141</v>
      </c>
      <c r="Y85" s="51"/>
      <c r="Z85" s="35" t="s">
        <v>38</v>
      </c>
      <c r="AA85" s="36" t="s">
        <v>59</v>
      </c>
      <c r="AB85" s="38" t="s">
        <v>141</v>
      </c>
      <c r="AC85" s="51"/>
      <c r="AD85" s="51"/>
      <c r="AE85" s="51"/>
      <c r="AF85" s="51"/>
      <c r="AG85" s="51"/>
      <c r="AH85" s="35" t="s">
        <v>38</v>
      </c>
      <c r="AI85" s="36" t="s">
        <v>254</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1"/>
      <c r="BB85" s="1"/>
      <c r="BC85" s="1"/>
      <c r="BD85" s="1"/>
      <c r="BE85" s="1"/>
      <c r="BF85" s="1"/>
    </row>
    <row r="86" spans="1:58"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240</v>
      </c>
      <c r="U86" s="51"/>
      <c r="V86" s="35" t="s">
        <v>38</v>
      </c>
      <c r="W86" s="36" t="s">
        <v>60</v>
      </c>
      <c r="X86" s="38" t="s">
        <v>138</v>
      </c>
      <c r="Y86" s="51"/>
      <c r="Z86" s="35" t="s">
        <v>38</v>
      </c>
      <c r="AA86" s="36" t="s">
        <v>60</v>
      </c>
      <c r="AB86" s="38" t="s">
        <v>138</v>
      </c>
      <c r="AC86" s="51"/>
      <c r="AD86" s="51"/>
      <c r="AE86" s="51"/>
      <c r="AF86" s="51"/>
      <c r="AG86" s="51"/>
      <c r="AH86" s="35" t="s">
        <v>38</v>
      </c>
      <c r="AI86" s="36" t="s">
        <v>255</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1"/>
      <c r="BB86" s="1"/>
      <c r="BC86" s="1"/>
      <c r="BD86" s="1"/>
      <c r="BE86" s="1"/>
      <c r="BF86" s="1"/>
    </row>
    <row r="87" spans="1:58" s="7" customFormat="1" ht="15.75">
      <c r="A87" s="51"/>
      <c r="B87" s="51"/>
      <c r="C87" s="51"/>
      <c r="D87" s="51"/>
      <c r="E87" s="51"/>
      <c r="F87" s="51"/>
      <c r="G87" s="51"/>
      <c r="H87" s="51"/>
      <c r="I87" s="51"/>
      <c r="J87" s="51"/>
      <c r="K87" s="51"/>
      <c r="L87" s="51"/>
      <c r="M87" s="51"/>
      <c r="N87" s="51"/>
      <c r="O87" s="51"/>
      <c r="P87" s="51"/>
      <c r="Q87" s="51"/>
      <c r="R87" s="33"/>
      <c r="S87" s="33"/>
      <c r="T87" s="33"/>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1"/>
      <c r="BB87" s="1"/>
      <c r="BC87" s="1"/>
      <c r="BD87" s="1"/>
      <c r="BE87" s="1"/>
      <c r="BF87" s="1"/>
    </row>
    <row r="88" spans="1:58" s="7" customFormat="1" ht="15.75">
      <c r="A88" s="51"/>
      <c r="B88" s="51"/>
      <c r="C88" s="51"/>
      <c r="D88" s="51"/>
      <c r="E88" s="51"/>
      <c r="F88" s="51"/>
      <c r="G88" s="51"/>
      <c r="H88" s="51"/>
      <c r="I88" s="51"/>
      <c r="J88" s="51"/>
      <c r="K88" s="51"/>
      <c r="L88" s="51"/>
      <c r="M88" s="51"/>
      <c r="N88" s="51"/>
      <c r="O88" s="51"/>
      <c r="P88" s="51"/>
      <c r="Q88" s="51"/>
      <c r="R88" s="33"/>
      <c r="S88" s="33"/>
      <c r="T88" s="33"/>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c r="BA88" s="1"/>
      <c r="BB88" s="1"/>
      <c r="BC88" s="1"/>
      <c r="BD88" s="1"/>
      <c r="BE88" s="1"/>
      <c r="BF88" s="1"/>
    </row>
    <row r="89" spans="1:58" s="7" customFormat="1" ht="15.75">
      <c r="A89" s="51"/>
      <c r="B89" s="51"/>
      <c r="C89" s="51"/>
      <c r="D89" s="51"/>
      <c r="E89" s="51"/>
      <c r="F89" s="51"/>
      <c r="G89" s="51"/>
      <c r="H89" s="51"/>
      <c r="I89" s="51"/>
      <c r="J89" s="51"/>
      <c r="K89" s="51"/>
      <c r="L89" s="51"/>
      <c r="M89" s="51"/>
      <c r="N89" s="51"/>
      <c r="O89" s="51"/>
      <c r="P89" s="51"/>
      <c r="Q89" s="51"/>
      <c r="R89" s="33"/>
      <c r="S89" s="33"/>
      <c r="T89" s="33"/>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225</v>
      </c>
      <c r="AZ89" s="49" t="s">
        <v>268</v>
      </c>
      <c r="BA89" s="20"/>
      <c r="BB89" s="20"/>
      <c r="BC89" s="20"/>
      <c r="BD89" s="20"/>
      <c r="BE89" s="20"/>
      <c r="BF89" s="20"/>
    </row>
    <row r="90" spans="1:58" s="7" customFormat="1" ht="15.75">
      <c r="A90" s="51"/>
      <c r="B90" s="51"/>
      <c r="C90" s="51"/>
      <c r="D90" s="51"/>
      <c r="E90" s="51"/>
      <c r="F90" s="51"/>
      <c r="G90" s="51"/>
      <c r="H90" s="51"/>
      <c r="I90" s="51"/>
      <c r="J90" s="51"/>
      <c r="K90" s="51"/>
      <c r="L90" s="51"/>
      <c r="M90" s="51"/>
      <c r="N90" s="51"/>
      <c r="O90" s="51"/>
      <c r="P90" s="51"/>
      <c r="Q90" s="51"/>
      <c r="R90" s="33"/>
      <c r="S90" s="33"/>
      <c r="T90" s="33"/>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227</v>
      </c>
      <c r="AZ90" s="49" t="s">
        <v>268</v>
      </c>
      <c r="BA90" s="1"/>
      <c r="BB90" s="1"/>
      <c r="BC90" s="1"/>
      <c r="BD90" s="1"/>
      <c r="BE90" s="1"/>
      <c r="BF90" s="1"/>
    </row>
    <row r="91" spans="1:58" s="7" customFormat="1" ht="15.75">
      <c r="A91" s="51"/>
      <c r="B91" s="51"/>
      <c r="C91" s="51"/>
      <c r="D91" s="51"/>
      <c r="E91" s="51"/>
      <c r="F91" s="51"/>
      <c r="G91" s="51"/>
      <c r="H91" s="51"/>
      <c r="I91" s="51"/>
      <c r="J91" s="51"/>
      <c r="K91" s="51"/>
      <c r="L91" s="51"/>
      <c r="M91" s="51"/>
      <c r="N91" s="51"/>
      <c r="O91" s="51"/>
      <c r="P91" s="51"/>
      <c r="Q91" s="51"/>
      <c r="R91" s="33"/>
      <c r="S91" s="33"/>
      <c r="T91" s="33"/>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228</v>
      </c>
      <c r="AZ91" s="49" t="s">
        <v>229</v>
      </c>
      <c r="BA91" s="1"/>
      <c r="BB91" s="1"/>
      <c r="BC91" s="1"/>
      <c r="BD91" s="1"/>
      <c r="BE91" s="1"/>
      <c r="BF91" s="1"/>
    </row>
    <row r="92" spans="1:58" s="7" customFormat="1" ht="15.75">
      <c r="A92" s="51"/>
      <c r="B92" s="51"/>
      <c r="C92" s="51"/>
      <c r="D92" s="51"/>
      <c r="E92" s="51"/>
      <c r="F92" s="51"/>
      <c r="G92" s="51"/>
      <c r="H92" s="51"/>
      <c r="I92" s="51"/>
      <c r="J92" s="51"/>
      <c r="K92" s="51"/>
      <c r="L92" s="51"/>
      <c r="M92" s="51"/>
      <c r="N92" s="51"/>
      <c r="O92" s="51"/>
      <c r="P92" s="51"/>
      <c r="Q92" s="51"/>
      <c r="R92" s="33"/>
      <c r="S92" s="33"/>
      <c r="T92" s="33"/>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BA92" s="1"/>
      <c r="BB92" s="1"/>
      <c r="BC92" s="1"/>
      <c r="BD92" s="1"/>
      <c r="BE92" s="1"/>
      <c r="BF92" s="1"/>
    </row>
    <row r="93" spans="1:58" s="7" customFormat="1" ht="15.75">
      <c r="A93" s="51"/>
      <c r="B93" s="51"/>
      <c r="C93" s="51"/>
      <c r="D93" s="51"/>
      <c r="E93" s="51"/>
      <c r="F93" s="51"/>
      <c r="G93" s="51"/>
      <c r="H93" s="51"/>
      <c r="I93" s="51"/>
      <c r="J93" s="51"/>
      <c r="K93" s="51"/>
      <c r="L93" s="51"/>
      <c r="M93" s="51"/>
      <c r="N93" s="51"/>
      <c r="O93" s="51"/>
      <c r="P93" s="51"/>
      <c r="Q93" s="51"/>
      <c r="R93" s="33"/>
      <c r="S93" s="33"/>
      <c r="T93" s="33"/>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BA93" s="1"/>
      <c r="BB93" s="1"/>
      <c r="BC93" s="1"/>
      <c r="BD93" s="1"/>
      <c r="BE93" s="1"/>
      <c r="BF93" s="1"/>
    </row>
    <row r="94" spans="1:58" s="7" customFormat="1" ht="15.75">
      <c r="A94" s="51"/>
      <c r="B94" s="51"/>
      <c r="C94" s="51"/>
      <c r="D94" s="51"/>
      <c r="E94" s="51"/>
      <c r="F94" s="51"/>
      <c r="G94" s="51"/>
      <c r="H94" s="51"/>
      <c r="I94" s="51"/>
      <c r="J94" s="51"/>
      <c r="K94" s="51"/>
      <c r="L94" s="51"/>
      <c r="M94" s="51"/>
      <c r="N94" s="51"/>
      <c r="O94" s="51"/>
      <c r="P94" s="51"/>
      <c r="Q94" s="51"/>
      <c r="R94" s="33"/>
      <c r="S94" s="33"/>
      <c r="T94" s="33"/>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BA94" s="1"/>
      <c r="BB94" s="1"/>
      <c r="BC94" s="1"/>
      <c r="BD94" s="1"/>
      <c r="BE94" s="1"/>
      <c r="BF94" s="1"/>
    </row>
    <row r="95" spans="1:58"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8"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3">
    <dataValidation type="list" allowBlank="1" showInputMessage="1" sqref="C12">
      <formula1>'[1]6755_coolers'!A2:A134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AE1">
      <formula1>'[3]6755_tz'!A2:A97</formula1>
    </dataValidation>
    <dataValidation type="list" allowBlank="1" showInputMessage="1" showErrorMessage="1" sqref="K13:K15 AI55:AI57 AI20:AI22 AI13:AI15 AY27:AY29 AY34:AY36 AY41:AY43 AY48:AY50 AY55:AY57 AQ6:AQ8 AU62:AU64 AU13:AU15 AU69:AU71 AU20:AU22 AU27:AU29 AU34:AU36 AU41:AU43 AU48:AU50 AU55:AU57 K27:K29 AQ62:AQ64 AQ13:AQ15 AQ69:AQ71 AQ20:AQ22 AQ27:AQ29 AQ34:AQ36 AQ41:AQ43 AQ48:AQ50 AQ55:AQ57 K6:K8 AM62:AM64 AM13:AM15 AM69:AM71 AM20:AM22 AM27:AM29 AM34:AM36 AM41:AM43 AM48:AM50 AM55:AM57 AI27:AI29 AI62:AI64 C41:C43 AI69:AI71 AI48:AI50 AY13:AY15 AY20:AY22 AI34:AI36 AI41:AI43 AA41:AA43 AA62:AA64 AY69:AY71 AA69:AA71 AY62:AY64 C20:C22 AA27:AA29 AA6:AA8 AA48:AA50 AA55:AA57 G13:G15 AM6:AM8 AU6:AU8 C27:C29 W62:W64 W55:W57 W48:W50 W6:W8 W41:W43 W34:W36 W27:W29 W20:W22 W69:W71 W13:W15 K62:K64 K55:K57 K48:K50 G62:G64 AY6:AY8 K41:K43 G55:G57 G48:G50 G6:G8 K34:K36 K20:K22 G41:G43 G34:G36 G27:G29 K69:K71 G20:G22 G69:G71 AA34:AA36 S62:S64 S55:S57 S48:S50 S6:S8 S41:S43 S34:S36 S27:S29 S20:S22 S69:S71 S13:S15 C62:C64 C55:C57 C48:C50 C6:C8 C34:C36 C69:C71 O62:O64 O55:O57 O48:O50 O6:O8 O41:O43 O34:O36 O27:O29 O20:O22 O69:O71 O13:O15 AI6:AI8 AA13:AA15 AE62:AE64 AE13:AE15 AE69:AE71 AE20:AE22 AE27:AE29 AE34:AE36 AE41:AE43 AE48:AE50 AE55:AE57 AE6:AE8">
      <formula1>"NULL, CPU0 loading(%), Wifi usage(Kb/s), &lt; Mobile usage(Kb/s), EXIT, mtktscpu, mtktsabb, mtktspmic, mtktsbattery, mtktspa, mtktswmt, mtktsAP, mtktsbuck, mtktsbattery2, mtktsxtal"</formula1>
    </dataValidation>
    <dataValidation type="list" allowBlank="1" showInputMessage="1" showErrorMessage="1" sqref="T77 AF1 AR77 AN77 AJ1 AF77 AV77 AZ1 AV1 D77 P77 AB77 L77 AZ77 AJ77 H77 AR1 AN1 AB1 X77 L1 P1 X1 T1 H1 D1">
      <formula1>"ENABLE,DISABLE"</formula1>
    </dataValidation>
    <dataValidation type="decimal" allowBlank="1" showInputMessage="1" showErrorMessage="1" errorTitle="Invalid" error="Must be 0 or 1" promptTitle="kernel log" prompt="[1, max step]" sqref="AN78 AV78 AR78">
      <formula1>1</formula1>
      <formula2>5</formula2>
    </dataValidation>
    <dataValidation type="decimal" allowBlank="1" showInputMessage="1" showErrorMessage="1" errorTitle="Invalid" error="Must between [-1, 65535]" promptTitle="Range" prompt="0 or between [100, 25500]" sqref="AN79:AN80 AJ79:AJ86 AV79:AV80 AR79:AR80">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I1 AU1 AQ1 AM1 K1 AA1 W1 S1 O1 AY1 G1 C1">
      <formula1>'6755_tz'!A2:A97</formula1>
    </dataValidation>
    <dataValidation type="list" allowBlank="1" showInputMessage="1" sqref="AE61 AI54 AY5 AI12 AI19 AI26 AY54 AY61 AQ5 AU68 AU12 AU19 AU26 AU33 AU40 AU47 AU54 AU61 K26 AQ68 AQ12 AQ19 AQ26 AQ33 AQ40 AQ47 AQ54 AQ61 K5 AM68 AM12 AM19 AM26 AM33 AM40 AM47 AM54 AM61 AM5 AI68 AE54 AA33 AY33 K12 AI33 AI40 AA40 AI61 AY40 C26 AY68 AY12 C19 AA26 AA47 AA54 AA61 AA68 G12 AY47 C40 W68 W61 W54 W47 W40 W33 W26 W19 W5 W12 S68 S61 S54 S47 S40 S33 S26 S19 S5 S12 O68 O61 O54 O47 O40 O33 O26 O19 O5 O12 K68 K61 K54 K47 K40 K33 K19 AY26 AI47 AY19 G68 G61 G54 G47 G40 G33 G26 G19 G5 AI5 C68 C61 C54 C47 C33 C5 AU5 AA12 AE68 AE12 AE19 AE26 AE33 AE40 AE47 AE5">
      <formula1>'6755_coolers'!A2:A137</formula1>
    </dataValidation>
    <dataValidation type="list" allowBlank="1" showInputMessage="1" sqref="AA19">
      <formula1>'[4]6735_coolers'!A2:A134</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sheetPr codeName="Sheet48"/>
  <dimension ref="A1:BA122"/>
  <sheetViews>
    <sheetView zoomScale="90" zoomScaleNormal="90" workbookViewId="0">
      <selection activeCell="AE3" sqref="AE3:AF8"/>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218</v>
      </c>
      <c r="AR1" s="4" t="s">
        <v>36</v>
      </c>
      <c r="AS1" s="6"/>
      <c r="AT1" s="2" t="s">
        <v>35</v>
      </c>
      <c r="AU1" s="3" t="s">
        <v>219</v>
      </c>
      <c r="AV1" s="4" t="s">
        <v>36</v>
      </c>
      <c r="AW1" s="6"/>
      <c r="AX1" s="2" t="s">
        <v>35</v>
      </c>
      <c r="AY1" s="3" t="s">
        <v>220</v>
      </c>
      <c r="AZ1" s="4" t="s">
        <v>36</v>
      </c>
      <c r="BA1"/>
    </row>
    <row r="2" spans="1:53" ht="30.75" customHeight="1">
      <c r="B2" s="2" t="s">
        <v>9</v>
      </c>
      <c r="C2" s="3">
        <v>3</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44">
        <v>90000</v>
      </c>
      <c r="AB3" s="14"/>
      <c r="AC3" s="10"/>
      <c r="AD3" s="12" t="s">
        <v>7</v>
      </c>
      <c r="AE3" s="13">
        <v>120000</v>
      </c>
      <c r="AF3" s="14"/>
      <c r="AG3" s="10"/>
      <c r="AH3" s="12" t="s">
        <v>7</v>
      </c>
      <c r="AI3" s="13">
        <v>200000</v>
      </c>
      <c r="AJ3" s="14"/>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282</v>
      </c>
      <c r="AF5" s="43"/>
      <c r="AG5" s="10"/>
      <c r="AH5" s="12" t="s">
        <v>5</v>
      </c>
      <c r="AI5" s="13" t="s">
        <v>109</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44">
        <v>105000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44">
        <v>85000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44"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44" t="s">
        <v>131</v>
      </c>
      <c r="D20" s="43">
        <v>15000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217</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217</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217</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132</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143</v>
      </c>
      <c r="AF77" s="4" t="s">
        <v>37</v>
      </c>
      <c r="AG77"/>
      <c r="AH77" s="35" t="s">
        <v>5</v>
      </c>
      <c r="AI77" s="36" t="s">
        <v>144</v>
      </c>
      <c r="AJ77" s="4" t="s">
        <v>36</v>
      </c>
      <c r="AK77"/>
      <c r="AL77" s="35" t="s">
        <v>5</v>
      </c>
      <c r="AM77" s="36" t="s">
        <v>145</v>
      </c>
      <c r="AN77" s="4" t="s">
        <v>37</v>
      </c>
      <c r="AO77"/>
      <c r="AP77" s="35" t="s">
        <v>5</v>
      </c>
      <c r="AQ77" s="36" t="s">
        <v>145</v>
      </c>
      <c r="AR77" s="4" t="s">
        <v>37</v>
      </c>
      <c r="AS77"/>
      <c r="AT77" s="35" t="s">
        <v>5</v>
      </c>
      <c r="AU77" s="36" t="s">
        <v>145</v>
      </c>
      <c r="AV77" s="4" t="s">
        <v>37</v>
      </c>
      <c r="AW77"/>
      <c r="AX77" s="35" t="s">
        <v>5</v>
      </c>
      <c r="AY77" s="47" t="s">
        <v>193</v>
      </c>
      <c r="AZ77" s="48" t="s">
        <v>36</v>
      </c>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146</v>
      </c>
      <c r="AG78"/>
      <c r="AH78" s="35" t="s">
        <v>38</v>
      </c>
      <c r="AI78" s="36" t="s">
        <v>42</v>
      </c>
      <c r="AJ78" s="36">
        <v>0</v>
      </c>
      <c r="AK78"/>
      <c r="AL78" s="35" t="s">
        <v>38</v>
      </c>
      <c r="AM78" s="36" t="s">
        <v>147</v>
      </c>
      <c r="AN78" s="36">
        <v>1</v>
      </c>
      <c r="AO78"/>
      <c r="AP78" s="35" t="s">
        <v>38</v>
      </c>
      <c r="AQ78" s="36" t="s">
        <v>147</v>
      </c>
      <c r="AR78" s="36">
        <v>2</v>
      </c>
      <c r="AS78"/>
      <c r="AT78" s="35" t="s">
        <v>38</v>
      </c>
      <c r="AU78" s="36" t="s">
        <v>147</v>
      </c>
      <c r="AV78" s="36">
        <v>3</v>
      </c>
      <c r="AW78"/>
      <c r="AX78" s="35" t="s">
        <v>38</v>
      </c>
      <c r="AY78" s="47" t="s">
        <v>194</v>
      </c>
      <c r="AZ78" s="49" t="s">
        <v>63</v>
      </c>
      <c r="BA78"/>
    </row>
    <row r="79" spans="1:53" s="7" customFormat="1" ht="15.75">
      <c r="A79"/>
      <c r="B79" s="35" t="s">
        <v>38</v>
      </c>
      <c r="C79" s="36" t="s">
        <v>125</v>
      </c>
      <c r="D79" s="38" t="s">
        <v>134</v>
      </c>
      <c r="E79"/>
      <c r="F79" s="35" t="s">
        <v>38</v>
      </c>
      <c r="G79" s="36" t="s">
        <v>125</v>
      </c>
      <c r="H79" s="38" t="s">
        <v>134</v>
      </c>
      <c r="J79" s="35" t="s">
        <v>38</v>
      </c>
      <c r="K79" s="36" t="s">
        <v>39</v>
      </c>
      <c r="L79" s="36">
        <v>-1</v>
      </c>
      <c r="M79"/>
      <c r="N79" s="35" t="s">
        <v>38</v>
      </c>
      <c r="O79" s="36" t="s">
        <v>44</v>
      </c>
      <c r="P79" s="38" t="s">
        <v>45</v>
      </c>
      <c r="Q79"/>
      <c r="R79" s="35" t="s">
        <v>38</v>
      </c>
      <c r="S79" s="36" t="s">
        <v>54</v>
      </c>
      <c r="T79" s="49" t="s">
        <v>234</v>
      </c>
      <c r="U79"/>
      <c r="V79" s="35" t="s">
        <v>38</v>
      </c>
      <c r="W79" s="36" t="s">
        <v>54</v>
      </c>
      <c r="X79" s="38" t="s">
        <v>115</v>
      </c>
      <c r="Y79"/>
      <c r="Z79" s="35" t="s">
        <v>38</v>
      </c>
      <c r="AA79" s="36" t="s">
        <v>54</v>
      </c>
      <c r="AB79" s="38" t="s">
        <v>118</v>
      </c>
      <c r="AC79"/>
      <c r="AD79" s="35" t="s">
        <v>38</v>
      </c>
      <c r="AE79" s="36" t="s">
        <v>148</v>
      </c>
      <c r="AF79" s="38" t="s">
        <v>64</v>
      </c>
      <c r="AG79"/>
      <c r="AH79" s="35" t="s">
        <v>38</v>
      </c>
      <c r="AI79" s="36" t="s">
        <v>149</v>
      </c>
      <c r="AJ79" s="36">
        <v>400</v>
      </c>
      <c r="AK79"/>
      <c r="AL79" s="35" t="s">
        <v>38</v>
      </c>
      <c r="AM79" s="36" t="s">
        <v>150</v>
      </c>
      <c r="AN79" s="36">
        <v>1200</v>
      </c>
      <c r="AO79"/>
      <c r="AP79" s="35" t="s">
        <v>38</v>
      </c>
      <c r="AQ79" s="36" t="s">
        <v>150</v>
      </c>
      <c r="AR79" s="36">
        <v>600</v>
      </c>
      <c r="AS79"/>
      <c r="AT79" s="35" t="s">
        <v>38</v>
      </c>
      <c r="AU79" s="36" t="s">
        <v>150</v>
      </c>
      <c r="AV79" s="36">
        <v>300</v>
      </c>
      <c r="AW79"/>
      <c r="AX79" s="35" t="s">
        <v>38</v>
      </c>
      <c r="AY79" s="47" t="s">
        <v>195</v>
      </c>
      <c r="AZ79" s="49" t="s">
        <v>196</v>
      </c>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257</v>
      </c>
      <c r="U80"/>
      <c r="V80" s="35" t="s">
        <v>38</v>
      </c>
      <c r="W80" s="36" t="s">
        <v>67</v>
      </c>
      <c r="X80" s="38" t="s">
        <v>117</v>
      </c>
      <c r="Y80"/>
      <c r="Z80" s="35" t="s">
        <v>38</v>
      </c>
      <c r="AA80" s="36" t="s">
        <v>67</v>
      </c>
      <c r="AB80" s="38" t="s">
        <v>117</v>
      </c>
      <c r="AC80"/>
      <c r="AD80" s="35" t="s">
        <v>38</v>
      </c>
      <c r="AE80" s="36" t="s">
        <v>46</v>
      </c>
      <c r="AF80" s="38" t="s">
        <v>142</v>
      </c>
      <c r="AG80"/>
      <c r="AH80" s="35" t="s">
        <v>38</v>
      </c>
      <c r="AI80" s="36" t="s">
        <v>151</v>
      </c>
      <c r="AJ80" s="36">
        <v>100</v>
      </c>
      <c r="AK80"/>
      <c r="AL80" s="35" t="s">
        <v>38</v>
      </c>
      <c r="AM80" s="36" t="s">
        <v>152</v>
      </c>
      <c r="AN80" s="36">
        <v>300</v>
      </c>
      <c r="AO80"/>
      <c r="AP80" s="35" t="s">
        <v>38</v>
      </c>
      <c r="AQ80" s="36" t="s">
        <v>152</v>
      </c>
      <c r="AR80" s="36">
        <v>300</v>
      </c>
      <c r="AS80"/>
      <c r="AT80" s="35" t="s">
        <v>38</v>
      </c>
      <c r="AU80" s="36" t="s">
        <v>152</v>
      </c>
      <c r="AV80" s="36">
        <v>300</v>
      </c>
      <c r="AW80"/>
      <c r="AX80" s="35" t="s">
        <v>38</v>
      </c>
      <c r="AY80" s="47" t="s">
        <v>197</v>
      </c>
      <c r="AZ80" s="49" t="s">
        <v>230</v>
      </c>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258</v>
      </c>
      <c r="U81"/>
      <c r="V81" s="35" t="s">
        <v>38</v>
      </c>
      <c r="W81" s="36" t="s">
        <v>66</v>
      </c>
      <c r="X81" s="38" t="s">
        <v>116</v>
      </c>
      <c r="Y81"/>
      <c r="Z81" s="35" t="s">
        <v>38</v>
      </c>
      <c r="AA81" s="36" t="s">
        <v>66</v>
      </c>
      <c r="AB81" s="38" t="s">
        <v>116</v>
      </c>
      <c r="AC81"/>
      <c r="AD81" s="35" t="s">
        <v>38</v>
      </c>
      <c r="AE81" s="36" t="s">
        <v>153</v>
      </c>
      <c r="AF81" s="38" t="s">
        <v>64</v>
      </c>
      <c r="AG81"/>
      <c r="AH81" s="35" t="s">
        <v>38</v>
      </c>
      <c r="AI81" s="36" t="s">
        <v>154</v>
      </c>
      <c r="AJ81" s="36">
        <v>100</v>
      </c>
      <c r="AK81"/>
      <c r="AL81"/>
      <c r="AM81"/>
      <c r="AN81"/>
      <c r="AO81"/>
      <c r="AP81"/>
      <c r="AQ81"/>
      <c r="AR81"/>
      <c r="AS81"/>
      <c r="AT81"/>
      <c r="AU81"/>
      <c r="AV81"/>
      <c r="AW81"/>
      <c r="AX81" s="35" t="s">
        <v>38</v>
      </c>
      <c r="AY81" s="47" t="s">
        <v>198</v>
      </c>
      <c r="AZ81" s="49" t="s">
        <v>235</v>
      </c>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226</v>
      </c>
      <c r="U82"/>
      <c r="V82" s="35" t="s">
        <v>38</v>
      </c>
      <c r="W82" s="36" t="s">
        <v>57</v>
      </c>
      <c r="X82" s="38" t="s">
        <v>58</v>
      </c>
      <c r="Y82"/>
      <c r="Z82" s="35" t="s">
        <v>38</v>
      </c>
      <c r="AA82" s="36" t="s">
        <v>57</v>
      </c>
      <c r="AB82" s="38" t="s">
        <v>58</v>
      </c>
      <c r="AC82"/>
      <c r="AD82" s="35" t="s">
        <v>38</v>
      </c>
      <c r="AE82" s="36" t="s">
        <v>50</v>
      </c>
      <c r="AF82" s="38" t="s">
        <v>136</v>
      </c>
      <c r="AG82"/>
      <c r="AH82" s="35" t="s">
        <v>38</v>
      </c>
      <c r="AI82" s="36" t="s">
        <v>155</v>
      </c>
      <c r="AJ82" s="36">
        <v>200</v>
      </c>
      <c r="AK82"/>
      <c r="AL82"/>
      <c r="AM82"/>
      <c r="AN82"/>
      <c r="AO82"/>
      <c r="AP82"/>
      <c r="AQ82"/>
      <c r="AR82"/>
      <c r="AS82"/>
      <c r="AT82"/>
      <c r="AU82"/>
      <c r="AV82"/>
      <c r="AW82"/>
      <c r="AX82" s="35" t="s">
        <v>38</v>
      </c>
      <c r="AY82" s="47" t="s">
        <v>236</v>
      </c>
      <c r="AZ82" s="49" t="s">
        <v>237</v>
      </c>
      <c r="BA82"/>
    </row>
    <row r="83" spans="1:53" s="7" customFormat="1" ht="15.75">
      <c r="A83"/>
      <c r="B83" s="35" t="s">
        <v>38</v>
      </c>
      <c r="C83" s="36" t="s">
        <v>125</v>
      </c>
      <c r="D83" s="38" t="s">
        <v>135</v>
      </c>
      <c r="E83"/>
      <c r="F83" s="35" t="s">
        <v>38</v>
      </c>
      <c r="G83" s="36" t="s">
        <v>125</v>
      </c>
      <c r="H83" s="38" t="s">
        <v>135</v>
      </c>
      <c r="J83"/>
      <c r="K83"/>
      <c r="L83"/>
      <c r="M83"/>
      <c r="N83"/>
      <c r="O83"/>
      <c r="P83"/>
      <c r="Q83"/>
      <c r="R83" s="35" t="s">
        <v>38</v>
      </c>
      <c r="S83" s="36" t="s">
        <v>55</v>
      </c>
      <c r="T83" s="49" t="s">
        <v>141</v>
      </c>
      <c r="U83"/>
      <c r="V83" s="35" t="s">
        <v>38</v>
      </c>
      <c r="W83" s="36" t="s">
        <v>55</v>
      </c>
      <c r="X83" s="38" t="s">
        <v>138</v>
      </c>
      <c r="Y83"/>
      <c r="Z83" s="35" t="s">
        <v>38</v>
      </c>
      <c r="AA83" s="36" t="s">
        <v>55</v>
      </c>
      <c r="AB83" s="38" t="s">
        <v>138</v>
      </c>
      <c r="AC83"/>
      <c r="AD83" s="35" t="s">
        <v>38</v>
      </c>
      <c r="AE83" s="36" t="s">
        <v>156</v>
      </c>
      <c r="AF83" s="38" t="s">
        <v>64</v>
      </c>
      <c r="AG83"/>
      <c r="AH83" s="35" t="s">
        <v>38</v>
      </c>
      <c r="AI83" s="36" t="s">
        <v>157</v>
      </c>
      <c r="AJ83" s="36">
        <v>100</v>
      </c>
      <c r="AK83"/>
      <c r="AL83"/>
      <c r="AM83"/>
      <c r="AN83"/>
      <c r="AO83"/>
      <c r="AP83"/>
      <c r="AQ83"/>
      <c r="AR83"/>
      <c r="AS83"/>
      <c r="AT83"/>
      <c r="AU83"/>
      <c r="AV83"/>
      <c r="AW83"/>
      <c r="AX83" s="35" t="s">
        <v>38</v>
      </c>
      <c r="AY83" s="47" t="s">
        <v>199</v>
      </c>
      <c r="AZ83" s="49" t="s">
        <v>239</v>
      </c>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49" t="s">
        <v>137</v>
      </c>
      <c r="U84"/>
      <c r="V84" s="35" t="s">
        <v>38</v>
      </c>
      <c r="W84" s="36" t="s">
        <v>56</v>
      </c>
      <c r="X84" s="38" t="s">
        <v>139</v>
      </c>
      <c r="Y84"/>
      <c r="Z84" s="35" t="s">
        <v>38</v>
      </c>
      <c r="AA84" s="36" t="s">
        <v>56</v>
      </c>
      <c r="AB84" s="38" t="s">
        <v>139</v>
      </c>
      <c r="AC84"/>
      <c r="AD84" s="35" t="s">
        <v>38</v>
      </c>
      <c r="AE84" s="36" t="s">
        <v>158</v>
      </c>
      <c r="AF84" s="38" t="s">
        <v>159</v>
      </c>
      <c r="AG84"/>
      <c r="AH84" s="35" t="s">
        <v>38</v>
      </c>
      <c r="AI84" s="36" t="s">
        <v>160</v>
      </c>
      <c r="AJ84" s="36">
        <v>6000</v>
      </c>
      <c r="AK84"/>
      <c r="AL84"/>
      <c r="AM84"/>
      <c r="AN84"/>
      <c r="AO84"/>
      <c r="AP84"/>
      <c r="AQ84"/>
      <c r="AR84"/>
      <c r="AS84"/>
      <c r="AT84"/>
      <c r="AU84"/>
      <c r="AV84"/>
      <c r="AW84"/>
      <c r="AX84" s="35" t="s">
        <v>38</v>
      </c>
      <c r="AY84" s="47" t="s">
        <v>200</v>
      </c>
      <c r="AZ84" s="49" t="s">
        <v>241</v>
      </c>
      <c r="BA84"/>
    </row>
    <row r="85" spans="1:53" s="7" customFormat="1" ht="15.75">
      <c r="A85"/>
      <c r="B85" s="35" t="s">
        <v>38</v>
      </c>
      <c r="C85" s="36" t="s">
        <v>125</v>
      </c>
      <c r="D85" s="38" t="s">
        <v>136</v>
      </c>
      <c r="E85"/>
      <c r="F85" s="35" t="s">
        <v>38</v>
      </c>
      <c r="G85" s="36" t="s">
        <v>125</v>
      </c>
      <c r="H85" s="38" t="s">
        <v>136</v>
      </c>
      <c r="J85"/>
      <c r="K85"/>
      <c r="L85"/>
      <c r="M85"/>
      <c r="N85"/>
      <c r="O85"/>
      <c r="P85"/>
      <c r="Q85"/>
      <c r="R85" s="35" t="s">
        <v>38</v>
      </c>
      <c r="S85" s="36" t="s">
        <v>59</v>
      </c>
      <c r="T85" s="49" t="s">
        <v>242</v>
      </c>
      <c r="U85"/>
      <c r="V85" s="35" t="s">
        <v>38</v>
      </c>
      <c r="W85" s="36" t="s">
        <v>59</v>
      </c>
      <c r="X85" s="38" t="s">
        <v>141</v>
      </c>
      <c r="Y85"/>
      <c r="Z85" s="35" t="s">
        <v>38</v>
      </c>
      <c r="AA85" s="36" t="s">
        <v>59</v>
      </c>
      <c r="AB85" s="38" t="s">
        <v>141</v>
      </c>
      <c r="AC85"/>
      <c r="AD85"/>
      <c r="AE85"/>
      <c r="AF85"/>
      <c r="AG85"/>
      <c r="AH85" s="35" t="s">
        <v>38</v>
      </c>
      <c r="AI85" s="36" t="s">
        <v>254</v>
      </c>
      <c r="AJ85" s="36">
        <v>100</v>
      </c>
      <c r="AK85"/>
      <c r="AL85"/>
      <c r="AM85"/>
      <c r="AN85"/>
      <c r="AO85"/>
      <c r="AP85"/>
      <c r="AQ85"/>
      <c r="AR85"/>
      <c r="AS85"/>
      <c r="AT85"/>
      <c r="AU85"/>
      <c r="AV85"/>
      <c r="AW85"/>
      <c r="AX85" s="35" t="s">
        <v>38</v>
      </c>
      <c r="AY85" s="47" t="s">
        <v>201</v>
      </c>
      <c r="AZ85" s="52">
        <f>ROUND(AZ80+AZ86*AZ82/1000, 0)</f>
        <v>355000</v>
      </c>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49" t="s">
        <v>240</v>
      </c>
      <c r="U86"/>
      <c r="V86" s="35" t="s">
        <v>38</v>
      </c>
      <c r="W86" s="36" t="s">
        <v>60</v>
      </c>
      <c r="X86" s="38" t="s">
        <v>140</v>
      </c>
      <c r="Y86"/>
      <c r="Z86" s="35" t="s">
        <v>38</v>
      </c>
      <c r="AA86" s="36" t="s">
        <v>60</v>
      </c>
      <c r="AB86" s="38" t="s">
        <v>140</v>
      </c>
      <c r="AC86"/>
      <c r="AD86"/>
      <c r="AE86"/>
      <c r="AF86"/>
      <c r="AG86"/>
      <c r="AH86" s="35" t="s">
        <v>38</v>
      </c>
      <c r="AI86" s="36" t="s">
        <v>255</v>
      </c>
      <c r="AJ86" s="36">
        <v>25500</v>
      </c>
      <c r="AK86"/>
      <c r="AL86"/>
      <c r="AM86"/>
      <c r="AN86"/>
      <c r="AO86"/>
      <c r="AP86"/>
      <c r="AQ86"/>
      <c r="AR86"/>
      <c r="AS86"/>
      <c r="AT86"/>
      <c r="AU86"/>
      <c r="AV86"/>
      <c r="AW86"/>
      <c r="AX86" s="41" t="s">
        <v>38</v>
      </c>
      <c r="AY86" s="53" t="s">
        <v>202</v>
      </c>
      <c r="AZ86" s="52">
        <f>ROUND((AZ79-AZ80)*1000/(AZ82-AZ81),0)</f>
        <v>6000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47" t="s">
        <v>203</v>
      </c>
      <c r="AZ87" s="52">
        <f>ROUND(AZ84+AZ88*AZ82/1000,0)</f>
        <v>285016</v>
      </c>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38</v>
      </c>
      <c r="AY88" s="53" t="s">
        <v>204</v>
      </c>
      <c r="AZ88" s="52">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38</v>
      </c>
      <c r="AY89" s="36" t="s">
        <v>225</v>
      </c>
      <c r="AZ89" s="49" t="s">
        <v>231</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38</v>
      </c>
      <c r="AY90" s="36" t="s">
        <v>227</v>
      </c>
      <c r="AZ90" s="49" t="s">
        <v>231</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38</v>
      </c>
      <c r="AY91" s="36" t="s">
        <v>228</v>
      </c>
      <c r="AZ91" s="49" t="s">
        <v>229</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0">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AZ77 AB77 X77 AN1 AJ1 AF1 AB1 H77 AR1 L1 P1 X1 T1 H1 D1 D77 AV1 AZ1 AV77 AF77 AJ77 AN77 AR77 T77">
      <formula1>"ENABLE,DISABLE"</formula1>
    </dataValidation>
    <dataValidation type="list" allowBlank="1" showInputMessage="1" showErrorMessage="1" sqref="AE55:AE57 C27:C29 AU62:AU64 AU13:AU15 AU69:AU71 AU20:AU22 AU27:AU29 AU34:AU36 AU41:AU43 AU48:AU50 AU55:AU57 C13:C15 AQ62:AQ64 AQ13:AQ15 AQ69:AQ71 AQ20:AQ22 AQ27:AQ29 AQ34:AQ36 AQ41:AQ43 AQ48:AQ50 AQ55:AQ57 C34:C36 AM62:AM64 AM13:AM15 AM69:AM71 AM20:AM22 AM27:AM29 AM34:AM36 AM41:AM43 AM48:AM50 AM55:AM57 AI6:AI8 AI62:AI64 AI13:AI15 AI69:AI71 AI20:AI22 AI27:AI29 AI34:AI36 AI41:AI43 AI48:AI50 AI55:AI57 AA62:AA64 AA13:AA15 AA69:AA71 AA20:AA22 AA27:AA29 AA34:AA36 AA41:AA43 AA6:AA8 AA48:AA50 AA55:AA57 AY27:AY29 AY34:AY36 AY41:AY43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48:AY50 AY55:AY57 C69:C71 O62:O64 O55:O57 O48:O50 O6:O8 O41:O43 O34:O36 O27:O29 O20:O22 O69:O71 O13:O15 G13:G15 C6:C8 AE62:AE64 AE13:AE15 AE69:AE71 AE20:AE22 AE27:AE29 AE34:AE36 AE41:AE43 AE48:AE50 C20:C22 AY62:AY64 AY13:AY15 AY69:AY71 AY20:AY22">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'6755_tz'!A2:A97</formula1>
    </dataValidation>
    <dataValidation type="list" allowBlank="1" showInputMessage="1" sqref="AE61 AQ5 AU68 AU12 AU19 AU26 AU33 AU40 AU47 AU54 AU61 AM5 AQ68 AQ12 AQ19 AQ26 AQ33 AQ40 AQ47 AQ54 AQ61 C33 AM68 AM12 AM19 AM26 AM33 AM40 AM47 AM54 AM61 AI5 AI68 AI12 AI19 AI26 AI33 AI40 AI47 AI54 AI61 AA5 AA12 AA19 AA26 AA33 AA40 AA47 AA54 AA61 AA68 AY33 AY40 C40 W68 W61 W54 W47 W40 W33 W26 W19 W5 W12 S68 S61 S54 S47 S40 S33 S26 S19 S5 S12 O68 O61 O54 O47 O40 O33 O26 O19 O5 O12 K68 K61 K54 K47 K40 K33 K26 K19 K5 K12 G68 G61 G54 G47 G40 G33 G26 G19 G5 G12 C68 C61 C54 C47 AY47 AY54 AY61 AY5 AE68 AE12 AE19 AE26 AE33 AE40 AE47 AE54 AU5 AY68 AY12 AY19 AY26 AE5">
      <formula1>'6755_coolers'!A2:A137</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qref="C19 C5 C26 C12">
      <formula1>'[5]6595_coolers'!A2:A136</formula1>
    </dataValidation>
    <dataValidation type="list" allowBlank="1" showInputMessage="1" showErrorMessage="1" sqref="AM6:AM8 AQ6:AQ8 AU6:AU8 AY6:AY8 AE6:AE8">
      <formula1>"NULL, CPU0 loading(%), Wifi usage(Kb/s), &lt; Mobile usage(Kb/s), EXIT, mtktscpu, mtktsabb, mtktspmic, mtktsbattery, mtktspa, mtktswmt, mtktsAP, mtktsbuck, mtktsbattery2, mtktsxtal"</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sheetPr codeName="Sheet49"/>
  <dimension ref="A1:BA122"/>
  <sheetViews>
    <sheetView zoomScale="90" zoomScaleNormal="90" zoomScaleSheetLayoutView="100" workbookViewId="0">
      <selection activeCell="AE10" sqref="AE1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3.5703125" style="33" bestFit="1" customWidth="1"/>
    <col min="43" max="43" width="15.28515625" style="33" bestFit="1" customWidth="1"/>
    <col min="44" max="44" width="7.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205</v>
      </c>
      <c r="AR1" s="4" t="s">
        <v>36</v>
      </c>
      <c r="AS1" s="6"/>
      <c r="AT1" s="2" t="s">
        <v>35</v>
      </c>
      <c r="AU1" s="3" t="s">
        <v>206</v>
      </c>
      <c r="AV1" s="4" t="s">
        <v>36</v>
      </c>
      <c r="AW1" s="6"/>
      <c r="AX1" s="2" t="s">
        <v>35</v>
      </c>
      <c r="AY1" s="3" t="s">
        <v>207</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282</v>
      </c>
      <c r="AF5" s="43"/>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5">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132</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143</v>
      </c>
      <c r="AF77" s="4" t="s">
        <v>37</v>
      </c>
      <c r="AG77"/>
      <c r="AH77" s="35" t="s">
        <v>5</v>
      </c>
      <c r="AI77" s="36" t="s">
        <v>144</v>
      </c>
      <c r="AJ77" s="4" t="s">
        <v>36</v>
      </c>
      <c r="AK77"/>
      <c r="AL77" s="35" t="s">
        <v>5</v>
      </c>
      <c r="AM77" s="36" t="s">
        <v>145</v>
      </c>
      <c r="AN77" s="4" t="s">
        <v>37</v>
      </c>
      <c r="AO77"/>
      <c r="AP77" s="35" t="s">
        <v>5</v>
      </c>
      <c r="AQ77" s="36" t="s">
        <v>145</v>
      </c>
      <c r="AR77" s="4" t="s">
        <v>37</v>
      </c>
      <c r="AS77"/>
      <c r="AT77" s="35" t="s">
        <v>5</v>
      </c>
      <c r="AU77" s="36" t="s">
        <v>145</v>
      </c>
      <c r="AV77" s="4" t="s">
        <v>37</v>
      </c>
      <c r="AW77"/>
      <c r="AX77" s="35" t="s">
        <v>5</v>
      </c>
      <c r="AY77" s="47" t="s">
        <v>193</v>
      </c>
      <c r="AZ77" s="48" t="s">
        <v>36</v>
      </c>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146</v>
      </c>
      <c r="AG78"/>
      <c r="AH78" s="35" t="s">
        <v>38</v>
      </c>
      <c r="AI78" s="36" t="s">
        <v>42</v>
      </c>
      <c r="AJ78" s="36">
        <v>0</v>
      </c>
      <c r="AK78"/>
      <c r="AL78" s="35" t="s">
        <v>38</v>
      </c>
      <c r="AM78" s="36" t="s">
        <v>147</v>
      </c>
      <c r="AN78" s="36">
        <v>1</v>
      </c>
      <c r="AO78"/>
      <c r="AP78" s="35" t="s">
        <v>38</v>
      </c>
      <c r="AQ78" s="36" t="s">
        <v>147</v>
      </c>
      <c r="AR78" s="36">
        <v>2</v>
      </c>
      <c r="AS78"/>
      <c r="AT78" s="35" t="s">
        <v>38</v>
      </c>
      <c r="AU78" s="36" t="s">
        <v>147</v>
      </c>
      <c r="AV78" s="36">
        <v>3</v>
      </c>
      <c r="AW78"/>
      <c r="AX78" s="35" t="s">
        <v>38</v>
      </c>
      <c r="AY78" s="47" t="s">
        <v>194</v>
      </c>
      <c r="AZ78" s="49" t="s">
        <v>63</v>
      </c>
      <c r="BA78"/>
    </row>
    <row r="79" spans="1:53" s="7" customFormat="1" ht="15.75">
      <c r="A79"/>
      <c r="B79" s="35" t="s">
        <v>38</v>
      </c>
      <c r="C79" s="36" t="s">
        <v>125</v>
      </c>
      <c r="D79" s="38" t="s">
        <v>134</v>
      </c>
      <c r="E79"/>
      <c r="F79" s="35" t="s">
        <v>38</v>
      </c>
      <c r="G79" s="36" t="s">
        <v>125</v>
      </c>
      <c r="H79" s="38" t="s">
        <v>134</v>
      </c>
      <c r="J79" s="35" t="s">
        <v>38</v>
      </c>
      <c r="K79" s="36" t="s">
        <v>39</v>
      </c>
      <c r="L79" s="36">
        <v>-1</v>
      </c>
      <c r="M79"/>
      <c r="N79" s="35" t="s">
        <v>38</v>
      </c>
      <c r="O79" s="36" t="s">
        <v>44</v>
      </c>
      <c r="P79" s="38" t="s">
        <v>45</v>
      </c>
      <c r="Q79"/>
      <c r="R79" s="35" t="s">
        <v>38</v>
      </c>
      <c r="S79" s="36" t="s">
        <v>54</v>
      </c>
      <c r="T79" s="38" t="s">
        <v>137</v>
      </c>
      <c r="U79"/>
      <c r="V79" s="35" t="s">
        <v>38</v>
      </c>
      <c r="W79" s="36" t="s">
        <v>54</v>
      </c>
      <c r="X79" s="38" t="s">
        <v>115</v>
      </c>
      <c r="Y79"/>
      <c r="Z79" s="35" t="s">
        <v>38</v>
      </c>
      <c r="AA79" s="36" t="s">
        <v>54</v>
      </c>
      <c r="AB79" s="38" t="s">
        <v>118</v>
      </c>
      <c r="AC79"/>
      <c r="AD79" s="35" t="s">
        <v>38</v>
      </c>
      <c r="AE79" s="36" t="s">
        <v>148</v>
      </c>
      <c r="AF79" s="38" t="s">
        <v>64</v>
      </c>
      <c r="AG79"/>
      <c r="AH79" s="35" t="s">
        <v>38</v>
      </c>
      <c r="AI79" s="36" t="s">
        <v>149</v>
      </c>
      <c r="AJ79" s="36">
        <v>400</v>
      </c>
      <c r="AK79"/>
      <c r="AL79" s="35" t="s">
        <v>38</v>
      </c>
      <c r="AM79" s="36" t="s">
        <v>150</v>
      </c>
      <c r="AN79" s="36">
        <v>1200</v>
      </c>
      <c r="AO79"/>
      <c r="AP79" s="35" t="s">
        <v>38</v>
      </c>
      <c r="AQ79" s="36" t="s">
        <v>150</v>
      </c>
      <c r="AR79" s="36">
        <v>600</v>
      </c>
      <c r="AS79"/>
      <c r="AT79" s="35" t="s">
        <v>38</v>
      </c>
      <c r="AU79" s="36" t="s">
        <v>150</v>
      </c>
      <c r="AV79" s="36">
        <v>300</v>
      </c>
      <c r="AW79"/>
      <c r="AX79" s="35" t="s">
        <v>38</v>
      </c>
      <c r="AY79" s="47" t="s">
        <v>195</v>
      </c>
      <c r="AZ79" s="49" t="s">
        <v>196</v>
      </c>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142</v>
      </c>
      <c r="AG80"/>
      <c r="AH80" s="35" t="s">
        <v>38</v>
      </c>
      <c r="AI80" s="36" t="s">
        <v>151</v>
      </c>
      <c r="AJ80" s="36">
        <v>100</v>
      </c>
      <c r="AK80"/>
      <c r="AL80" s="35" t="s">
        <v>38</v>
      </c>
      <c r="AM80" s="36" t="s">
        <v>152</v>
      </c>
      <c r="AN80" s="36">
        <v>300</v>
      </c>
      <c r="AO80"/>
      <c r="AP80" s="35" t="s">
        <v>38</v>
      </c>
      <c r="AQ80" s="36" t="s">
        <v>152</v>
      </c>
      <c r="AR80" s="36">
        <v>300</v>
      </c>
      <c r="AS80"/>
      <c r="AT80" s="35" t="s">
        <v>38</v>
      </c>
      <c r="AU80" s="36" t="s">
        <v>152</v>
      </c>
      <c r="AV80" s="36">
        <v>300</v>
      </c>
      <c r="AW80"/>
      <c r="AX80" s="35" t="s">
        <v>38</v>
      </c>
      <c r="AY80" s="47" t="s">
        <v>197</v>
      </c>
      <c r="AZ80" s="49" t="s">
        <v>230</v>
      </c>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153</v>
      </c>
      <c r="AF81" s="38" t="s">
        <v>64</v>
      </c>
      <c r="AG81"/>
      <c r="AH81" s="35" t="s">
        <v>38</v>
      </c>
      <c r="AI81" s="36" t="s">
        <v>154</v>
      </c>
      <c r="AJ81" s="36">
        <v>100</v>
      </c>
      <c r="AK81"/>
      <c r="AL81"/>
      <c r="AM81"/>
      <c r="AN81"/>
      <c r="AO81"/>
      <c r="AP81"/>
      <c r="AQ81"/>
      <c r="AR81"/>
      <c r="AS81"/>
      <c r="AT81"/>
      <c r="AU81"/>
      <c r="AV81"/>
      <c r="AW81"/>
      <c r="AX81" s="35" t="s">
        <v>38</v>
      </c>
      <c r="AY81" s="47" t="s">
        <v>198</v>
      </c>
      <c r="AZ81" s="49" t="s">
        <v>235</v>
      </c>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136</v>
      </c>
      <c r="AG82"/>
      <c r="AH82" s="35" t="s">
        <v>38</v>
      </c>
      <c r="AI82" s="36" t="s">
        <v>155</v>
      </c>
      <c r="AJ82" s="36">
        <v>200</v>
      </c>
      <c r="AK82"/>
      <c r="AL82"/>
      <c r="AM82"/>
      <c r="AN82"/>
      <c r="AO82"/>
      <c r="AP82"/>
      <c r="AQ82"/>
      <c r="AR82"/>
      <c r="AS82"/>
      <c r="AT82"/>
      <c r="AU82"/>
      <c r="AV82"/>
      <c r="AW82"/>
      <c r="AX82" s="35" t="s">
        <v>38</v>
      </c>
      <c r="AY82" s="47" t="s">
        <v>236</v>
      </c>
      <c r="AZ82" s="49" t="s">
        <v>237</v>
      </c>
      <c r="BA82"/>
    </row>
    <row r="83" spans="1:53" s="7" customFormat="1" ht="15.75">
      <c r="A83"/>
      <c r="B83" s="35" t="s">
        <v>38</v>
      </c>
      <c r="C83" s="36" t="s">
        <v>125</v>
      </c>
      <c r="D83" s="38" t="s">
        <v>135</v>
      </c>
      <c r="E83"/>
      <c r="F83" s="35" t="s">
        <v>38</v>
      </c>
      <c r="G83" s="36" t="s">
        <v>125</v>
      </c>
      <c r="H83" s="38" t="s">
        <v>135</v>
      </c>
      <c r="J83"/>
      <c r="K83"/>
      <c r="L83"/>
      <c r="M83"/>
      <c r="N83"/>
      <c r="O83"/>
      <c r="P83"/>
      <c r="Q83"/>
      <c r="R83" s="35" t="s">
        <v>38</v>
      </c>
      <c r="S83" s="36" t="s">
        <v>55</v>
      </c>
      <c r="T83" s="38" t="s">
        <v>138</v>
      </c>
      <c r="U83"/>
      <c r="V83" s="35" t="s">
        <v>38</v>
      </c>
      <c r="W83" s="36" t="s">
        <v>55</v>
      </c>
      <c r="X83" s="38" t="s">
        <v>138</v>
      </c>
      <c r="Y83"/>
      <c r="Z83" s="35" t="s">
        <v>38</v>
      </c>
      <c r="AA83" s="36" t="s">
        <v>55</v>
      </c>
      <c r="AB83" s="38" t="s">
        <v>138</v>
      </c>
      <c r="AC83"/>
      <c r="AD83" s="35" t="s">
        <v>38</v>
      </c>
      <c r="AE83" s="36" t="s">
        <v>156</v>
      </c>
      <c r="AF83" s="38" t="s">
        <v>64</v>
      </c>
      <c r="AG83"/>
      <c r="AH83" s="35" t="s">
        <v>38</v>
      </c>
      <c r="AI83" s="36" t="s">
        <v>157</v>
      </c>
      <c r="AJ83" s="36">
        <v>100</v>
      </c>
      <c r="AK83"/>
      <c r="AL83"/>
      <c r="AM83"/>
      <c r="AN83"/>
      <c r="AO83"/>
      <c r="AP83"/>
      <c r="AQ83"/>
      <c r="AR83"/>
      <c r="AS83"/>
      <c r="AT83"/>
      <c r="AU83"/>
      <c r="AV83"/>
      <c r="AW83"/>
      <c r="AX83" s="35" t="s">
        <v>38</v>
      </c>
      <c r="AY83" s="47" t="s">
        <v>199</v>
      </c>
      <c r="AZ83" s="49" t="s">
        <v>239</v>
      </c>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139</v>
      </c>
      <c r="U84"/>
      <c r="V84" s="35" t="s">
        <v>38</v>
      </c>
      <c r="W84" s="36" t="s">
        <v>56</v>
      </c>
      <c r="X84" s="38" t="s">
        <v>139</v>
      </c>
      <c r="Y84"/>
      <c r="Z84" s="35" t="s">
        <v>38</v>
      </c>
      <c r="AA84" s="36" t="s">
        <v>56</v>
      </c>
      <c r="AB84" s="38" t="s">
        <v>139</v>
      </c>
      <c r="AC84"/>
      <c r="AD84" s="35" t="s">
        <v>38</v>
      </c>
      <c r="AE84" s="36" t="s">
        <v>158</v>
      </c>
      <c r="AF84" s="38" t="s">
        <v>159</v>
      </c>
      <c r="AG84"/>
      <c r="AH84" s="35" t="s">
        <v>38</v>
      </c>
      <c r="AI84" s="36" t="s">
        <v>160</v>
      </c>
      <c r="AJ84" s="36">
        <v>6000</v>
      </c>
      <c r="AK84"/>
      <c r="AL84"/>
      <c r="AM84"/>
      <c r="AN84"/>
      <c r="AO84"/>
      <c r="AP84"/>
      <c r="AQ84"/>
      <c r="AR84"/>
      <c r="AS84"/>
      <c r="AT84"/>
      <c r="AU84"/>
      <c r="AV84"/>
      <c r="AW84"/>
      <c r="AX84" s="35" t="s">
        <v>38</v>
      </c>
      <c r="AY84" s="47" t="s">
        <v>200</v>
      </c>
      <c r="AZ84" s="49" t="s">
        <v>241</v>
      </c>
      <c r="BA84"/>
    </row>
    <row r="85" spans="1:53" s="7" customFormat="1" ht="15.75">
      <c r="A85"/>
      <c r="B85" s="35" t="s">
        <v>38</v>
      </c>
      <c r="C85" s="36" t="s">
        <v>125</v>
      </c>
      <c r="D85" s="38" t="s">
        <v>136</v>
      </c>
      <c r="E85"/>
      <c r="F85" s="35" t="s">
        <v>38</v>
      </c>
      <c r="G85" s="36" t="s">
        <v>125</v>
      </c>
      <c r="H85" s="38" t="s">
        <v>136</v>
      </c>
      <c r="J85"/>
      <c r="K85"/>
      <c r="L85"/>
      <c r="M85"/>
      <c r="N85"/>
      <c r="O85"/>
      <c r="P85"/>
      <c r="Q85"/>
      <c r="R85" s="35" t="s">
        <v>38</v>
      </c>
      <c r="S85" s="36" t="s">
        <v>59</v>
      </c>
      <c r="T85" s="38" t="s">
        <v>141</v>
      </c>
      <c r="U85"/>
      <c r="V85" s="35" t="s">
        <v>38</v>
      </c>
      <c r="W85" s="36" t="s">
        <v>59</v>
      </c>
      <c r="X85" s="38" t="s">
        <v>141</v>
      </c>
      <c r="Y85"/>
      <c r="Z85" s="35" t="s">
        <v>38</v>
      </c>
      <c r="AA85" s="36" t="s">
        <v>59</v>
      </c>
      <c r="AB85" s="38" t="s">
        <v>141</v>
      </c>
      <c r="AC85"/>
      <c r="AD85"/>
      <c r="AE85"/>
      <c r="AF85"/>
      <c r="AG85"/>
      <c r="AH85" s="35" t="s">
        <v>38</v>
      </c>
      <c r="AI85" s="36" t="s">
        <v>254</v>
      </c>
      <c r="AJ85" s="36">
        <v>100</v>
      </c>
      <c r="AK85"/>
      <c r="AL85"/>
      <c r="AM85"/>
      <c r="AN85"/>
      <c r="AO85"/>
      <c r="AP85"/>
      <c r="AQ85"/>
      <c r="AR85"/>
      <c r="AS85"/>
      <c r="AT85"/>
      <c r="AU85"/>
      <c r="AV85"/>
      <c r="AW85"/>
      <c r="AX85" s="35" t="s">
        <v>38</v>
      </c>
      <c r="AY85" s="47" t="s">
        <v>201</v>
      </c>
      <c r="AZ85" s="52">
        <f>ROUND(AZ80+AZ86*AZ82/1000, 0)</f>
        <v>355000</v>
      </c>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140</v>
      </c>
      <c r="U86"/>
      <c r="V86" s="35" t="s">
        <v>38</v>
      </c>
      <c r="W86" s="36" t="s">
        <v>60</v>
      </c>
      <c r="X86" s="38" t="s">
        <v>140</v>
      </c>
      <c r="Y86"/>
      <c r="Z86" s="35" t="s">
        <v>38</v>
      </c>
      <c r="AA86" s="36" t="s">
        <v>60</v>
      </c>
      <c r="AB86" s="38" t="s">
        <v>140</v>
      </c>
      <c r="AC86"/>
      <c r="AD86"/>
      <c r="AE86"/>
      <c r="AF86"/>
      <c r="AG86"/>
      <c r="AH86" s="35" t="s">
        <v>38</v>
      </c>
      <c r="AI86" s="36" t="s">
        <v>255</v>
      </c>
      <c r="AJ86" s="36">
        <v>25500</v>
      </c>
      <c r="AK86"/>
      <c r="AL86"/>
      <c r="AM86"/>
      <c r="AN86"/>
      <c r="AO86"/>
      <c r="AP86"/>
      <c r="AQ86"/>
      <c r="AR86"/>
      <c r="AS86"/>
      <c r="AT86"/>
      <c r="AU86"/>
      <c r="AV86"/>
      <c r="AW86"/>
      <c r="AX86" s="41" t="s">
        <v>38</v>
      </c>
      <c r="AY86" s="53" t="s">
        <v>202</v>
      </c>
      <c r="AZ86" s="52">
        <f>ROUND((AZ79-AZ80)*1000/(AZ82-AZ81),0)</f>
        <v>6000</v>
      </c>
      <c r="BA86"/>
    </row>
    <row r="87" spans="1:53" s="7" customFormat="1" ht="15.7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47" t="s">
        <v>203</v>
      </c>
      <c r="AZ87" s="52">
        <f>ROUND(AZ84+AZ88*AZ82/1000,0)</f>
        <v>285016</v>
      </c>
      <c r="BA87"/>
    </row>
    <row r="88" spans="1:53" s="7" customFormat="1" ht="15.7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38</v>
      </c>
      <c r="AY88" s="53" t="s">
        <v>204</v>
      </c>
      <c r="AZ88" s="52">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38</v>
      </c>
      <c r="AY89" s="36" t="s">
        <v>225</v>
      </c>
      <c r="AZ89" s="49" t="s">
        <v>231</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38</v>
      </c>
      <c r="AY90" s="36" t="s">
        <v>227</v>
      </c>
      <c r="AZ90" s="49" t="s">
        <v>231</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38</v>
      </c>
      <c r="AY91" s="36" t="s">
        <v>228</v>
      </c>
      <c r="AZ91" s="49" t="s">
        <v>229</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0">
    <dataValidation type="list" allowBlank="1" showInputMessage="1" showErrorMessage="1" sqref="L77 P77 T77 AB77 X77 AJ1 AF1 D77 H77 AR1 AN1 L1 P1 X1 T1 H1 D1 AB1 AV1 AZ1 AV77 AF77 AJ77 AN77 AR77 AZ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Q5 AU68 AU12 AU19 AU26 AU33 AU40 AU47 AU54 AU61 AM5 AQ68 AQ12 AQ19 AQ26 AQ33 AQ40 AQ47 AQ54 AQ61 AY40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Y5 AE68 AE12 AE19 AE26 AE33 AE40 AE47 AE54 AU5 AY68 AY12 AY19 AY26 AY33 AE5">
      <formula1>'6755_coolers'!A2:A137</formula1>
    </dataValidation>
    <dataValidation type="list" allowBlank="1" showInputMessage="1" showErrorMessage="1" sqref="AE1 AU1 AQ1 AM1 AI1 AA1 W1 S1 O1 K1 G1 C1 AY1">
      <formula1>'6755_tz'!A2:A97</formula1>
    </dataValidation>
    <dataValidation type="list" allowBlank="1" showInputMessage="1" showErrorMessage="1" sqref="AE55:AE57 AQ6:AQ8 AU62:AU64 AU13:AU15 AU69:AU71 AU20:AU22 AU27:AU29 AU34:AU36 AU41:AU43 AU48:AU50 AU55:AU57 AM6:AM8 AQ62:AQ64 AQ13:AQ15 AQ69:AQ71 AQ20:AQ22 AQ27:AQ29 AQ34:AQ36 AQ41:AQ43 AQ48:AQ50 AQ55:AQ57 C6:C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Y6:AY8 AE62:AE64 AE13:AE15 AE69:AE71 AE20:AE22 AE27:AE29 AE34:AE36 AE41:AE43 AE48:AE50 AU6:AU8 AY62:AY64 AY13:AY15 AY69:AY71 AY20:AY22 AY27:AY29 AY34:AY36 C13:C15 C20:C22">
      <formula1>"NULL, CPU0 loading(%), Wifi usage(Kb/s), EXIT, mtktscpu, mtktsabb, mtktspmic, mtktsbattery, mtktspa, mtktswmt, mtktsAP, mtktsbuck, mtktsbattery2, mtktsxtal"</formula1>
    </dataValidation>
    <dataValidation type="list" allowBlank="1" showInputMessage="1" sqref="C12 C5 C19">
      <formula1>'[6]6752_coolers'!A2:A134</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E6:AE8">
      <formula1>"NULL, CPU0 loading(%), Wifi usage(Kb/s), &lt; Mobile usage(Kb/s), EXIT, mtktscpu, mtktsabb, mtktspmic, mtktsbattery, mtktspa, mtktswmt, mtktsAP, mtktsbuck, mtktsbattery2, mtktsxtal"</formula1>
    </dataValidation>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sheetPr codeName="Sheet1"/>
  <dimension ref="A1:C74"/>
  <sheetViews>
    <sheetView topLeftCell="A28" workbookViewId="0">
      <selection activeCell="I49" sqref="I49"/>
    </sheetView>
  </sheetViews>
  <sheetFormatPr defaultRowHeight="15.7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185</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164</v>
      </c>
    </row>
    <row r="53" spans="1:3">
      <c r="A53" s="39" t="s">
        <v>112</v>
      </c>
      <c r="B53" t="s">
        <v>164</v>
      </c>
    </row>
    <row r="54" spans="1:3">
      <c r="A54" s="39" t="s">
        <v>113</v>
      </c>
      <c r="B54" t="s">
        <v>164</v>
      </c>
    </row>
    <row r="55" spans="1:3">
      <c r="A55" s="39" t="s">
        <v>19</v>
      </c>
      <c r="B55" t="s">
        <v>165</v>
      </c>
    </row>
    <row r="56" spans="1:3">
      <c r="A56" s="40" t="s">
        <v>114</v>
      </c>
      <c r="B56" s="37" t="s">
        <v>165</v>
      </c>
      <c r="C56" s="37"/>
    </row>
    <row r="57" spans="1:3">
      <c r="A57" s="39" t="s">
        <v>51</v>
      </c>
      <c r="B57" t="s">
        <v>166</v>
      </c>
      <c r="C57" s="37"/>
    </row>
    <row r="58" spans="1:3">
      <c r="A58" s="39" t="s">
        <v>52</v>
      </c>
      <c r="B58" t="s">
        <v>166</v>
      </c>
      <c r="C58" s="37"/>
    </row>
    <row r="59" spans="1:3">
      <c r="A59" s="39" t="s">
        <v>53</v>
      </c>
      <c r="B59" t="s">
        <v>166</v>
      </c>
      <c r="C59" s="37"/>
    </row>
    <row r="60" spans="1:3">
      <c r="A60" s="39" t="s">
        <v>68</v>
      </c>
      <c r="B60" t="s">
        <v>167</v>
      </c>
      <c r="C60" s="37"/>
    </row>
    <row r="61" spans="1:3">
      <c r="A61" s="39" t="s">
        <v>132</v>
      </c>
      <c r="B61" t="s">
        <v>168</v>
      </c>
      <c r="C61" s="37"/>
    </row>
    <row r="62" spans="1:3">
      <c r="A62" s="39" t="s">
        <v>143</v>
      </c>
      <c r="B62" t="s">
        <v>169</v>
      </c>
      <c r="C62" s="37"/>
    </row>
    <row r="63" spans="1:3">
      <c r="A63" s="40" t="s">
        <v>161</v>
      </c>
      <c r="B63" s="37" t="s">
        <v>169</v>
      </c>
      <c r="C63" s="37"/>
    </row>
    <row r="64" spans="1:3">
      <c r="A64" s="40" t="s">
        <v>145</v>
      </c>
      <c r="B64" s="37" t="s">
        <v>170</v>
      </c>
      <c r="C64" s="37"/>
    </row>
    <row r="65" spans="1:3">
      <c r="A65" s="39" t="s">
        <v>144</v>
      </c>
      <c r="B65" t="s">
        <v>171</v>
      </c>
      <c r="C65" s="37"/>
    </row>
    <row r="66" spans="1:3">
      <c r="A66" s="39" t="s">
        <v>162</v>
      </c>
      <c r="B66" t="s">
        <v>171</v>
      </c>
      <c r="C66" s="37"/>
    </row>
    <row r="67" spans="1:3">
      <c r="A67" s="40" t="s">
        <v>163</v>
      </c>
      <c r="B67" s="37" t="s">
        <v>171</v>
      </c>
      <c r="C67" s="37"/>
    </row>
    <row r="68" spans="1:3">
      <c r="A68" s="40" t="s">
        <v>224</v>
      </c>
      <c r="B68" s="37" t="s">
        <v>171</v>
      </c>
      <c r="C68" s="37"/>
    </row>
    <row r="69" spans="1:3">
      <c r="A69" s="40" t="s">
        <v>251</v>
      </c>
      <c r="B69" s="37"/>
      <c r="C69" s="37"/>
    </row>
    <row r="70" spans="1:3">
      <c r="A70" s="40" t="s">
        <v>253</v>
      </c>
      <c r="B70" s="37"/>
      <c r="C70" s="37"/>
    </row>
    <row r="71" spans="1:3">
      <c r="A71" s="40" t="s">
        <v>183</v>
      </c>
      <c r="B71" s="37" t="s">
        <v>184</v>
      </c>
      <c r="C71" s="37"/>
    </row>
    <row r="72" spans="1:3">
      <c r="A72" s="40" t="s">
        <v>193</v>
      </c>
      <c r="B72" s="37" t="s">
        <v>272</v>
      </c>
      <c r="C72" s="37"/>
    </row>
    <row r="73" spans="1:3">
      <c r="A73" s="40" t="s">
        <v>270</v>
      </c>
      <c r="B73" s="37" t="s">
        <v>271</v>
      </c>
      <c r="C73" s="37"/>
    </row>
    <row r="74" spans="1:3">
      <c r="A74" s="40" t="s">
        <v>282</v>
      </c>
      <c r="B74" s="37"/>
      <c r="C74" s="37"/>
    </row>
  </sheetData>
  <phoneticPr fontId="8"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sheetPr codeName="Sheet5"/>
  <dimension ref="A1:C15"/>
  <sheetViews>
    <sheetView workbookViewId="0"/>
  </sheetViews>
  <sheetFormatPr defaultRowHeight="15.75"/>
  <cols>
    <col min="1" max="3" width="40.7109375" customWidth="1"/>
  </cols>
  <sheetData>
    <row r="1" spans="1:3">
      <c r="A1" t="s">
        <v>30</v>
      </c>
      <c r="B1" t="s">
        <v>31</v>
      </c>
      <c r="C1" t="s">
        <v>28</v>
      </c>
    </row>
    <row r="2" spans="1:3">
      <c r="A2" t="s">
        <v>23</v>
      </c>
      <c r="B2" t="s">
        <v>172</v>
      </c>
      <c r="C2" t="s">
        <v>208</v>
      </c>
    </row>
    <row r="3" spans="1:3">
      <c r="A3" t="s">
        <v>34</v>
      </c>
      <c r="B3" t="s">
        <v>173</v>
      </c>
      <c r="C3" t="s">
        <v>209</v>
      </c>
    </row>
    <row r="4" spans="1:3">
      <c r="A4" t="s">
        <v>24</v>
      </c>
      <c r="B4" t="s">
        <v>174</v>
      </c>
      <c r="C4" t="s">
        <v>210</v>
      </c>
    </row>
    <row r="5" spans="1:3">
      <c r="A5" t="s">
        <v>25</v>
      </c>
      <c r="B5" t="s">
        <v>175</v>
      </c>
      <c r="C5" t="s">
        <v>29</v>
      </c>
    </row>
    <row r="6" spans="1:3">
      <c r="A6" t="s">
        <v>26</v>
      </c>
      <c r="B6" t="s">
        <v>176</v>
      </c>
      <c r="C6" t="s">
        <v>211</v>
      </c>
    </row>
    <row r="7" spans="1:3">
      <c r="A7" t="s">
        <v>27</v>
      </c>
      <c r="B7" t="s">
        <v>177</v>
      </c>
      <c r="C7" t="s">
        <v>212</v>
      </c>
    </row>
    <row r="8" spans="1:3">
      <c r="A8" s="37" t="s">
        <v>68</v>
      </c>
      <c r="B8" s="37" t="s">
        <v>178</v>
      </c>
      <c r="C8" s="37" t="s">
        <v>130</v>
      </c>
    </row>
    <row r="9" spans="1:3">
      <c r="A9" t="s">
        <v>69</v>
      </c>
      <c r="B9" t="s">
        <v>179</v>
      </c>
      <c r="C9" t="s">
        <v>133</v>
      </c>
    </row>
    <row r="10" spans="1:3">
      <c r="A10" t="s">
        <v>128</v>
      </c>
      <c r="B10" t="s">
        <v>180</v>
      </c>
      <c r="C10" t="s">
        <v>213</v>
      </c>
    </row>
    <row r="11" spans="1:3">
      <c r="A11" t="s">
        <v>189</v>
      </c>
      <c r="B11" t="s">
        <v>186</v>
      </c>
      <c r="C11" t="s">
        <v>214</v>
      </c>
    </row>
    <row r="12" spans="1:3">
      <c r="A12" t="s">
        <v>190</v>
      </c>
      <c r="B12" t="s">
        <v>187</v>
      </c>
      <c r="C12" t="s">
        <v>215</v>
      </c>
    </row>
    <row r="13" spans="1:3">
      <c r="A13" t="s">
        <v>191</v>
      </c>
      <c r="B13" t="s">
        <v>188</v>
      </c>
      <c r="C13" t="s">
        <v>216</v>
      </c>
    </row>
    <row r="14" spans="1:3">
      <c r="A14" t="s">
        <v>132</v>
      </c>
      <c r="B14" t="s">
        <v>181</v>
      </c>
      <c r="C14" t="s">
        <v>192</v>
      </c>
    </row>
    <row r="15" spans="1:3">
      <c r="A15" s="37" t="s">
        <v>221</v>
      </c>
      <c r="B15" s="37" t="s">
        <v>222</v>
      </c>
      <c r="C15" s="37" t="s">
        <v>223</v>
      </c>
    </row>
  </sheetData>
  <phoneticPr fontId="8"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A8325093728D41B2A3D05E0CE16AF4" ma:contentTypeVersion="0" ma:contentTypeDescription="Create a new document." ma:contentTypeScope="" ma:versionID="09773965fe6ca2a54823a7b3a6e22ac9">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1C371B-E44D-49EC-AF61-31DD99B5C0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AB38CFD-6905-4300-8D1C-1B391F65AE95}">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EA8460E6-3E19-4487-87B5-60B9439F19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6755_1.14.0.06_catmp_METAnoBCCT</vt:lpstr>
      <vt:lpstr>6755_1.14.0.06_tp (2)</vt:lpstr>
      <vt:lpstr>6755_1.14.0.06_catmp_PIPnoBCCT</vt:lpstr>
      <vt:lpstr>6755_1.14.0.06_catmpVRGISnoBCTT</vt:lpstr>
      <vt:lpstr>6755_1.14.0.06_catmp_WFDnoBCCT</vt:lpstr>
      <vt:lpstr>6755_1.14.0.06_catmp_engnoBCCT</vt:lpstr>
      <vt:lpstr>6755_1.14.0.06_catmp_no_BCCT</vt:lpstr>
      <vt:lpstr>6755_1.14.0.06_catmp_META</vt:lpstr>
      <vt:lpstr>6755_1.14.0.06_catmp_PIP</vt:lpstr>
      <vt:lpstr>6755_1.14.0.06_catmp_VRGIS</vt:lpstr>
      <vt:lpstr>6755_1.14.0.06_catmp_WFD</vt:lpstr>
      <vt:lpstr>6755_1.14.0.06_catmp_eng</vt:lpstr>
      <vt:lpstr>6755_1.14.0.06_catmp</vt:lpstr>
      <vt:lpstr>6755_1.14.0.06_tp</vt:lpstr>
      <vt:lpstr>6755_1.14.0.06_ht</vt:lpstr>
      <vt:lpstr>6755_coolers</vt:lpstr>
      <vt:lpstr>6755_tz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2015-11-04T06:45:42Z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